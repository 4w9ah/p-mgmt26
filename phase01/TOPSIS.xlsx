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Описание" sheetId="1" state="visible" r:id="rId3"/>
    <sheet name="Пашинский" sheetId="2" state="visible" r:id="rId4"/>
    <sheet name="Колесникова" sheetId="3" state="visible" r:id="rId5"/>
    <sheet name="Степаненко" sheetId="4" state="visible" r:id="rId6"/>
    <sheet name="Агрегация" sheetId="5" state="visible" r:id="rId7"/>
    <sheet name="Нормализация" sheetId="6" state="visible" r:id="rId8"/>
    <sheet name="Взвешенная" sheetId="7" state="visible" r:id="rId9"/>
    <sheet name="Расстояния" sheetId="8" state="visible" r:id="rId10"/>
    <sheet name="Результат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<sst xmlns="http://schemas.openxmlformats.org/spreadsheetml/2006/main" count="605" uniqueCount="90">
  <si>
    <t xml:space="preserve">Фаза 1. Выбор концепции проекта: нечёткий коллективный TOPSIS (трёхточечные оценки)</t>
  </si>
  <si>
    <t xml:space="preserve">Команда: Пашинский П., Колесникова А., Степаненко А.</t>
  </si>
  <si>
    <t xml:space="preserve">Легенда</t>
  </si>
  <si>
    <t xml:space="preserve">Синий шрифт — вводимые значения (оценки экспертов, типы критериев, шкала): их можно менять, всё пересчитается.</t>
  </si>
  <si>
    <t xml:space="preserve">Чёрный шрифт — формулы. Зелёный шрифт — прямые ссылки на другие листы.</t>
  </si>
  <si>
    <t xml:space="preserve">Шкалы и допущения</t>
  </si>
  <si>
    <t xml:space="preserve">1. Важность критериев и оценки альтернатив даются по шкале 1–10. Каждый эксперт ставит по три оценки на каждую ячейку.</t>
  </si>
  <si>
    <t xml:space="preserve">2. Три оценки упорядочиваются формулами MIN / MEDIAN / MAX и трактуются как пессимистичная (l), ожидаемая (m) и оптимистичная (u).</t>
  </si>
  <si>
    <t xml:space="preserve">3. Тип B (выгода): больше балл — лучше. Тип C (затраты): больше балл — хуже (сложнее, рискованнее, дороже); при нормализации оценка инвертируется.</t>
  </si>
  <si>
    <t xml:space="preserve">4. Агрегация экспертов (по Chen): l = минимум l, m = среднее m, u = максимум u. Веса масштабируются делением на максимум шкалы (ячейка C43).</t>
  </si>
  <si>
    <t xml:space="preserve">5. Идеальное решение FPIS = (1,1,1), антиидеальное FNIS = (0,0,0). Расстояние между треугольными числами считается по вершинному методу.</t>
  </si>
  <si>
    <t xml:space="preserve">6. Оценки экспертов в этом файле придуманы для учебного примера и намеренно различаются; замените их своими при необходимости.</t>
  </si>
  <si>
    <t xml:space="preserve">Критерии</t>
  </si>
  <si>
    <t xml:space="preserve">Код</t>
  </si>
  <si>
    <t xml:space="preserve">Критерий</t>
  </si>
  <si>
    <t xml:space="preserve">Тип (B/C)</t>
  </si>
  <si>
    <t xml:space="preserve">Что оцениваем (1–10)</t>
  </si>
  <si>
    <t xml:space="preserve">C1</t>
  </si>
  <si>
    <t xml:space="preserve">Практическая польза</t>
  </si>
  <si>
    <t xml:space="preserve">B</t>
  </si>
  <si>
    <t xml:space="preserve">Насколько продукт реально пригодится пользователям и команде</t>
  </si>
  <si>
    <t xml:space="preserve">C2</t>
  </si>
  <si>
    <t xml:space="preserve">Сложность реализации</t>
  </si>
  <si>
    <t xml:space="preserve">C</t>
  </si>
  <si>
    <t xml:space="preserve">Объём и трудоёмкость разработки (10 = очень сложно)</t>
  </si>
  <si>
    <t xml:space="preserve">C3</t>
  </si>
  <si>
    <t xml:space="preserve">Технические риски</t>
  </si>
  <si>
    <t xml:space="preserve">Вероятность технических проблем, неопределённость (10 = очень рискованно)</t>
  </si>
  <si>
    <t xml:space="preserve">C4</t>
  </si>
  <si>
    <t xml:space="preserve">Чёткость границ (10-15 юз-кейсов)</t>
  </si>
  <si>
    <t xml:space="preserve">Насколько чётко продукт режется на 10–15 юз-кейсов / MVP</t>
  </si>
  <si>
    <t xml:space="preserve">C5</t>
  </si>
  <si>
    <t xml:space="preserve">Интерес команды</t>
  </si>
  <si>
    <t xml:space="preserve">Насколько участникам команды интересно этим заниматься</t>
  </si>
  <si>
    <t xml:space="preserve">C6</t>
  </si>
  <si>
    <t xml:space="preserve">Затраты на поддержку и инфраструктуру</t>
  </si>
  <si>
    <t xml:space="preserve">Стоимость хостинга, поддержки и сопровождения (10 = очень дорого)</t>
  </si>
  <si>
    <t xml:space="preserve">Альтернативы</t>
  </si>
  <si>
    <t xml:space="preserve">Название</t>
  </si>
  <si>
    <t xml:space="preserve">A1</t>
  </si>
  <si>
    <t xml:space="preserve">Дашборд мониторинга инфраструктуры</t>
  </si>
  <si>
    <t xml:space="preserve">A2</t>
  </si>
  <si>
    <t xml:space="preserve">Менеджер секретов и конфигов</t>
  </si>
  <si>
    <t xml:space="preserve">A3</t>
  </si>
  <si>
    <t xml:space="preserve">Трекер техдолга и задач</t>
  </si>
  <si>
    <t xml:space="preserve">A4</t>
  </si>
  <si>
    <t xml:space="preserve">Бот уведомлений CI/CD</t>
  </si>
  <si>
    <t xml:space="preserve">A5</t>
  </si>
  <si>
    <t xml:space="preserve">Каталог внутренней документации</t>
  </si>
  <si>
    <t xml:space="preserve">Параметры</t>
  </si>
  <si>
    <t xml:space="preserve">Максимум шкалы важности</t>
  </si>
  <si>
    <t xml:space="preserve">Оценки эксперта: Пашинский П. (шкала 1–10)</t>
  </si>
  <si>
    <t xml:space="preserve">Важность критериев</t>
  </si>
  <si>
    <t xml:space="preserve">Оценка 1</t>
  </si>
  <si>
    <t xml:space="preserve">Оценка 2</t>
  </si>
  <si>
    <t xml:space="preserve">Оценка 3</t>
  </si>
  <si>
    <t xml:space="preserve">l (пессим.)</t>
  </si>
  <si>
    <t xml:space="preserve">m (ожид.)</t>
  </si>
  <si>
    <t xml:space="preserve">u (оптим.)</t>
  </si>
  <si>
    <t xml:space="preserve">Оценки альтернатив по критериям</t>
  </si>
  <si>
    <t xml:space="preserve">Альт.</t>
  </si>
  <si>
    <t xml:space="preserve">Название альтернативы</t>
  </si>
  <si>
    <t xml:space="preserve">C1 (B)</t>
  </si>
  <si>
    <t xml:space="preserve">C2 (C)</t>
  </si>
  <si>
    <t xml:space="preserve">C3 (C)</t>
  </si>
  <si>
    <t xml:space="preserve">C4 (B)</t>
  </si>
  <si>
    <t xml:space="preserve">C5 (B)</t>
  </si>
  <si>
    <t xml:space="preserve">C6 (C)</t>
  </si>
  <si>
    <t xml:space="preserve">Оценки эксперта: Колесникова А. (шкала 1–10)</t>
  </si>
  <si>
    <t xml:space="preserve">Оценки эксперта: Степаненко А. (шкала 1–10)</t>
  </si>
  <si>
    <t xml:space="preserve">Агрегация мнений экспертов (l = min, m = среднее, u = max)</t>
  </si>
  <si>
    <t xml:space="preserve">Коллективные нечёткие веса критериев</t>
  </si>
  <si>
    <t xml:space="preserve">l</t>
  </si>
  <si>
    <t xml:space="preserve">m</t>
  </si>
  <si>
    <t xml:space="preserve">u</t>
  </si>
  <si>
    <t xml:space="preserve">Коллективная нечёткая матрица решений</t>
  </si>
  <si>
    <t xml:space="preserve">Альтернатива</t>
  </si>
  <si>
    <t xml:space="preserve">Опорное значение: max u (тип B) или min l (тип C)</t>
  </si>
  <si>
    <t xml:space="preserve">Тип критерия (из листа «Описание»)</t>
  </si>
  <si>
    <t xml:space="preserve">Нормализованная нечёткая матрица (тип B: делим на max u; тип C: min l делим на значение, l и u меняются местами)</t>
  </si>
  <si>
    <t xml:space="preserve">Взвешенная нормализованная матрица: v = r × (вес / максимум шкалы)</t>
  </si>
  <si>
    <t xml:space="preserve">Расстояния до идеального (1,1,1) и антиидеального (0,0,0) решений по каждому критерию</t>
  </si>
  <si>
    <t xml:space="preserve">Σ d+</t>
  </si>
  <si>
    <t xml:space="preserve">Σ d−</t>
  </si>
  <si>
    <t xml:space="preserve">d+</t>
  </si>
  <si>
    <t xml:space="preserve">d−</t>
  </si>
  <si>
    <t xml:space="preserve">Итог TOPSIS: коэффициент близости CC = d− / (d+ + d−)</t>
  </si>
  <si>
    <t xml:space="preserve">CC</t>
  </si>
  <si>
    <t xml:space="preserve">Место</t>
  </si>
  <si>
    <t xml:space="preserve">Победившая концепция по TOPSIS: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</si>
</sst>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"/>
    <numFmt numFmtId="167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.3"/>
    <col collapsed="false" customWidth="true" hidden="false" outlineLevel="0" max="2" min="2" style="1" width="42"/>
    <col collapsed="false" customWidth="true" hidden="false" outlineLevel="0" max="3" min="3" style="1" width="12"/>
    <col collapsed="false" customWidth="true" hidden="false" outlineLevel="0" max="4" min="4" style="1" width="7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</row>
    <row r="6" customFormat="false" ht="15" hidden="false" customHeight="false" outlineLevel="0" collapsed="false">
      <c r="A6" s="3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6" t="s">
        <v>13</v>
      </c>
      <c r="B17" s="6" t="s">
        <v>14</v>
      </c>
      <c r="C17" s="6" t="s">
        <v>15</v>
      </c>
      <c r="D17" s="6" t="s">
        <v>16</v>
      </c>
    </row>
    <row r="18" customFormat="false" ht="15" hidden="false" customHeight="false" outlineLevel="0" collapsed="false">
      <c r="A18" s="7" t="s">
        <v>17</v>
      </c>
      <c r="B18" s="7" t="s">
        <v>18</v>
      </c>
      <c r="C18" s="8" t="s">
        <v>19</v>
      </c>
      <c r="D18" s="7" t="s">
        <v>20</v>
      </c>
    </row>
    <row r="19" customFormat="false" ht="15" hidden="false" customHeight="false" outlineLevel="0" collapsed="false">
      <c r="A19" s="7" t="s">
        <v>21</v>
      </c>
      <c r="B19" s="7" t="s">
        <v>22</v>
      </c>
      <c r="C19" s="8" t="s">
        <v>23</v>
      </c>
      <c r="D19" s="7" t="s">
        <v>24</v>
      </c>
    </row>
    <row r="20" customFormat="false" ht="15" hidden="false" customHeight="false" outlineLevel="0" collapsed="false">
      <c r="A20" s="7" t="s">
        <v>25</v>
      </c>
      <c r="B20" s="7" t="s">
        <v>26</v>
      </c>
      <c r="C20" s="8" t="s">
        <v>23</v>
      </c>
      <c r="D20" s="7" t="s">
        <v>27</v>
      </c>
    </row>
    <row r="21" customFormat="false" ht="15" hidden="false" customHeight="false" outlineLevel="0" collapsed="false">
      <c r="A21" s="7" t="s">
        <v>28</v>
      </c>
      <c r="B21" s="7" t="s">
        <v>29</v>
      </c>
      <c r="C21" s="8" t="s">
        <v>19</v>
      </c>
      <c r="D21" s="7" t="s">
        <v>30</v>
      </c>
    </row>
    <row r="22" customFormat="false" ht="15" hidden="false" customHeight="false" outlineLevel="0" collapsed="false">
      <c r="A22" s="7" t="s">
        <v>31</v>
      </c>
      <c r="B22" s="7" t="s">
        <v>32</v>
      </c>
      <c r="C22" s="8" t="s">
        <v>19</v>
      </c>
      <c r="D22" s="7" t="s">
        <v>33</v>
      </c>
    </row>
    <row r="23" customFormat="false" ht="15" hidden="false" customHeight="false" outlineLevel="0" collapsed="false">
      <c r="A23" s="7" t="s">
        <v>34</v>
      </c>
      <c r="B23" s="7" t="s">
        <v>35</v>
      </c>
      <c r="C23" s="8" t="s">
        <v>23</v>
      </c>
      <c r="D23" s="7" t="s">
        <v>36</v>
      </c>
    </row>
    <row r="25" customFormat="false" ht="15" hidden="false" customHeight="false" outlineLevel="0" collapsed="false">
      <c r="A25" s="4" t="s">
        <v>37</v>
      </c>
    </row>
    <row r="26" customFormat="false" ht="15" hidden="false" customHeight="false" outlineLevel="0" collapsed="false">
      <c r="A26" s="6" t="s">
        <v>13</v>
      </c>
      <c r="B26" s="6" t="s">
        <v>38</v>
      </c>
    </row>
    <row r="27" customFormat="false" ht="15" hidden="false" customHeight="false" outlineLevel="0" collapsed="false">
      <c r="A27" s="7" t="s">
        <v>39</v>
      </c>
      <c r="B27" s="7" t="s">
        <v>40</v>
      </c>
    </row>
    <row r="28" customFormat="false" ht="15" hidden="false" customHeight="false" outlineLevel="0" collapsed="false">
      <c r="A28" s="7" t="s">
        <v>41</v>
      </c>
      <c r="B28" s="7" t="s">
        <v>42</v>
      </c>
    </row>
    <row r="29" customFormat="false" ht="15" hidden="false" customHeight="false" outlineLevel="0" collapsed="false">
      <c r="A29" s="7" t="s">
        <v>43</v>
      </c>
      <c r="B29" s="7" t="s">
        <v>44</v>
      </c>
    </row>
    <row r="30" customFormat="false" ht="15" hidden="false" customHeight="false" outlineLevel="0" collapsed="false">
      <c r="A30" s="7" t="s">
        <v>45</v>
      </c>
      <c r="B30" s="7" t="s">
        <v>46</v>
      </c>
    </row>
    <row r="31" customFormat="false" ht="15" hidden="false" customHeight="false" outlineLevel="0" collapsed="false">
      <c r="A31" s="7" t="s">
        <v>47</v>
      </c>
      <c r="B31" s="7" t="s">
        <v>48</v>
      </c>
    </row>
    <row r="33" customFormat="false" ht="15" hidden="false" customHeight="false" outlineLevel="0" collapsed="false">
      <c r="A33" s="4" t="s">
        <v>49</v>
      </c>
    </row>
    <row r="34" customFormat="false" ht="15" hidden="false" customHeight="false" outlineLevel="0" collapsed="false">
      <c r="B34" s="7" t="s">
        <v>50</v>
      </c>
      <c r="C34" s="9" t="n">
        <v>10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9" min="3" style="1" width="12"/>
  </cols>
  <sheetData>
    <row r="1" customFormat="false" ht="17.35" hidden="false" customHeight="false" outlineLevel="0" collapsed="false">
      <c r="A1" s="2" t="s">
        <v>51</v>
      </c>
    </row>
    <row r="2" customFormat="false" ht="15" hidden="false" customHeight="false" outlineLevel="0" collapsed="false">
      <c r="A2" s="4" t="s">
        <v>52</v>
      </c>
    </row>
    <row r="3" customFormat="false" ht="15" hidden="false" customHeight="false" outlineLevel="0" collapsed="false">
      <c r="A3" s="6" t="s">
        <v>13</v>
      </c>
      <c r="B3" s="6" t="s">
        <v>14</v>
      </c>
      <c r="C3" s="6"/>
      <c r="D3" s="6" t="s">
        <v>53</v>
      </c>
      <c r="E3" s="6" t="s">
        <v>54</v>
      </c>
      <c r="F3" s="6" t="s">
        <v>55</v>
      </c>
      <c r="G3" s="6" t="s">
        <v>56</v>
      </c>
      <c r="H3" s="6" t="s">
        <v>57</v>
      </c>
      <c r="I3" s="6" t="s">
        <v>58</v>
      </c>
    </row>
    <row r="4" customFormat="false" ht="15" hidden="false" customHeight="false" outlineLevel="0" collapsed="false">
      <c r="A4" s="7" t="s">
        <v>17</v>
      </c>
      <c r="B4" s="7" t="s">
        <v>18</v>
      </c>
      <c r="C4" s="7"/>
      <c r="D4" s="8" t="n">
        <v>7</v>
      </c>
      <c r="E4" s="8" t="n">
        <v>8</v>
      </c>
      <c r="F4" s="8" t="n">
        <v>9</v>
      </c>
      <c r="G4" s="10" t="n">
        <f aca="false">MIN(D4:F4)</f>
        <v>7</v>
      </c>
      <c r="H4" s="10" t="n">
        <f aca="false">MEDIAN(D4:F4)</f>
        <v>8</v>
      </c>
      <c r="I4" s="10" t="n">
        <f aca="false">MAX(D4:F4)</f>
        <v>9</v>
      </c>
    </row>
    <row r="5" customFormat="false" ht="15" hidden="false" customHeight="false" outlineLevel="0" collapsed="false">
      <c r="A5" s="7" t="s">
        <v>21</v>
      </c>
      <c r="B5" s="7" t="s">
        <v>22</v>
      </c>
      <c r="C5" s="7"/>
      <c r="D5" s="8" t="n">
        <v>6</v>
      </c>
      <c r="E5" s="8" t="n">
        <v>7</v>
      </c>
      <c r="F5" s="8" t="n">
        <v>5</v>
      </c>
      <c r="G5" s="10" t="n">
        <f aca="false">MIN(D5:F5)</f>
        <v>5</v>
      </c>
      <c r="H5" s="10" t="n">
        <f aca="false">MEDIAN(D5:F5)</f>
        <v>6</v>
      </c>
      <c r="I5" s="10" t="n">
        <f aca="false">MAX(D5:F5)</f>
        <v>7</v>
      </c>
    </row>
    <row r="6" customFormat="false" ht="15" hidden="false" customHeight="false" outlineLevel="0" collapsed="false">
      <c r="A6" s="7" t="s">
        <v>25</v>
      </c>
      <c r="B6" s="7" t="s">
        <v>26</v>
      </c>
      <c r="C6" s="7"/>
      <c r="D6" s="8" t="n">
        <v>7</v>
      </c>
      <c r="E6" s="8" t="n">
        <v>8</v>
      </c>
      <c r="F6" s="8" t="n">
        <v>9</v>
      </c>
      <c r="G6" s="10" t="n">
        <f aca="false">MIN(D6:F6)</f>
        <v>7</v>
      </c>
      <c r="H6" s="10" t="n">
        <f aca="false">MEDIAN(D6:F6)</f>
        <v>8</v>
      </c>
      <c r="I6" s="10" t="n">
        <f aca="false">MAX(D6:F6)</f>
        <v>9</v>
      </c>
    </row>
    <row r="7" customFormat="false" ht="15" hidden="false" customHeight="false" outlineLevel="0" collapsed="false">
      <c r="A7" s="7" t="s">
        <v>28</v>
      </c>
      <c r="B7" s="7" t="s">
        <v>29</v>
      </c>
      <c r="C7" s="7"/>
      <c r="D7" s="8" t="n">
        <v>5</v>
      </c>
      <c r="E7" s="8" t="n">
        <v>6</v>
      </c>
      <c r="F7" s="8" t="n">
        <v>4</v>
      </c>
      <c r="G7" s="10" t="n">
        <f aca="false">MIN(D7:F7)</f>
        <v>4</v>
      </c>
      <c r="H7" s="10" t="n">
        <f aca="false">MEDIAN(D7:F7)</f>
        <v>5</v>
      </c>
      <c r="I7" s="10" t="n">
        <f aca="false">MAX(D7:F7)</f>
        <v>6</v>
      </c>
    </row>
    <row r="8" customFormat="false" ht="15" hidden="false" customHeight="false" outlineLevel="0" collapsed="false">
      <c r="A8" s="7" t="s">
        <v>31</v>
      </c>
      <c r="B8" s="7" t="s">
        <v>32</v>
      </c>
      <c r="C8" s="7"/>
      <c r="D8" s="8" t="n">
        <v>6</v>
      </c>
      <c r="E8" s="8" t="n">
        <v>7</v>
      </c>
      <c r="F8" s="8" t="n">
        <v>8</v>
      </c>
      <c r="G8" s="10" t="n">
        <f aca="false">MIN(D8:F8)</f>
        <v>6</v>
      </c>
      <c r="H8" s="10" t="n">
        <f aca="false">MEDIAN(D8:F8)</f>
        <v>7</v>
      </c>
      <c r="I8" s="10" t="n">
        <f aca="false">MAX(D8:F8)</f>
        <v>8</v>
      </c>
    </row>
    <row r="9" customFormat="false" ht="15" hidden="false" customHeight="false" outlineLevel="0" collapsed="false">
      <c r="A9" s="7" t="s">
        <v>34</v>
      </c>
      <c r="B9" s="7" t="s">
        <v>35</v>
      </c>
      <c r="C9" s="7"/>
      <c r="D9" s="8" t="n">
        <v>4</v>
      </c>
      <c r="E9" s="8" t="n">
        <v>5</v>
      </c>
      <c r="F9" s="8" t="n">
        <v>3</v>
      </c>
      <c r="G9" s="10" t="n">
        <f aca="false">MIN(D9:F9)</f>
        <v>3</v>
      </c>
      <c r="H9" s="10" t="n">
        <f aca="false">MEDIAN(D9:F9)</f>
        <v>4</v>
      </c>
      <c r="I9" s="10" t="n">
        <f aca="false">MAX(D9:F9)</f>
        <v>5</v>
      </c>
    </row>
    <row r="11" customFormat="false" ht="15" hidden="false" customHeight="false" outlineLevel="0" collapsed="false">
      <c r="A11" s="4" t="s">
        <v>59</v>
      </c>
    </row>
    <row r="12" customFormat="false" ht="15" hidden="false" customHeight="false" outlineLevel="0" collapsed="false">
      <c r="A12" s="6" t="s">
        <v>60</v>
      </c>
      <c r="B12" s="6" t="s">
        <v>61</v>
      </c>
      <c r="C12" s="6" t="s">
        <v>14</v>
      </c>
      <c r="D12" s="6" t="s">
        <v>53</v>
      </c>
      <c r="E12" s="6" t="s">
        <v>54</v>
      </c>
      <c r="F12" s="6" t="s">
        <v>55</v>
      </c>
      <c r="G12" s="6" t="s">
        <v>56</v>
      </c>
      <c r="H12" s="6" t="s">
        <v>57</v>
      </c>
      <c r="I12" s="6" t="s">
        <v>58</v>
      </c>
    </row>
    <row r="13" customFormat="false" ht="15" hidden="false" customHeight="false" outlineLevel="0" collapsed="false">
      <c r="A13" s="7" t="s">
        <v>39</v>
      </c>
      <c r="B13" s="7" t="s">
        <v>40</v>
      </c>
      <c r="C13" s="10" t="s">
        <v>62</v>
      </c>
      <c r="D13" s="8" t="n">
        <v>9</v>
      </c>
      <c r="E13" s="8" t="n">
        <v>8</v>
      </c>
      <c r="F13" s="8" t="n">
        <v>10</v>
      </c>
      <c r="G13" s="10" t="n">
        <f aca="false">MIN(D13:F13)</f>
        <v>8</v>
      </c>
      <c r="H13" s="10" t="n">
        <f aca="false">MEDIAN(D13:F13)</f>
        <v>9</v>
      </c>
      <c r="I13" s="10" t="n">
        <f aca="false">MAX(D13:F13)</f>
        <v>10</v>
      </c>
    </row>
    <row r="14" customFormat="false" ht="15" hidden="false" customHeight="false" outlineLevel="0" collapsed="false">
      <c r="A14" s="7" t="s">
        <v>41</v>
      </c>
      <c r="B14" s="7" t="s">
        <v>42</v>
      </c>
      <c r="C14" s="10" t="s">
        <v>62</v>
      </c>
      <c r="D14" s="8" t="n">
        <v>9</v>
      </c>
      <c r="E14" s="8" t="n">
        <v>7</v>
      </c>
      <c r="F14" s="8" t="n">
        <v>9</v>
      </c>
      <c r="G14" s="10" t="n">
        <f aca="false">MIN(D14:F14)</f>
        <v>7</v>
      </c>
      <c r="H14" s="10" t="n">
        <f aca="false">MEDIAN(D14:F14)</f>
        <v>9</v>
      </c>
      <c r="I14" s="10" t="n">
        <f aca="false">MAX(D14:F14)</f>
        <v>9</v>
      </c>
    </row>
    <row r="15" customFormat="false" ht="15" hidden="false" customHeight="false" outlineLevel="0" collapsed="false">
      <c r="A15" s="7" t="s">
        <v>43</v>
      </c>
      <c r="B15" s="7" t="s">
        <v>44</v>
      </c>
      <c r="C15" s="10" t="s">
        <v>62</v>
      </c>
      <c r="D15" s="8" t="n">
        <v>6</v>
      </c>
      <c r="E15" s="8" t="n">
        <v>6</v>
      </c>
      <c r="F15" s="8" t="n">
        <v>8</v>
      </c>
      <c r="G15" s="10" t="n">
        <f aca="false">MIN(D15:F15)</f>
        <v>6</v>
      </c>
      <c r="H15" s="10" t="n">
        <f aca="false">MEDIAN(D15:F15)</f>
        <v>6</v>
      </c>
      <c r="I15" s="10" t="n">
        <f aca="false">MAX(D15:F15)</f>
        <v>8</v>
      </c>
    </row>
    <row r="16" customFormat="false" ht="15" hidden="false" customHeight="false" outlineLevel="0" collapsed="false">
      <c r="A16" s="7" t="s">
        <v>45</v>
      </c>
      <c r="B16" s="7" t="s">
        <v>46</v>
      </c>
      <c r="C16" s="10" t="s">
        <v>62</v>
      </c>
      <c r="D16" s="8" t="n">
        <v>7</v>
      </c>
      <c r="E16" s="8" t="n">
        <v>5</v>
      </c>
      <c r="F16" s="8" t="n">
        <v>8</v>
      </c>
      <c r="G16" s="10" t="n">
        <f aca="false">MIN(D16:F16)</f>
        <v>5</v>
      </c>
      <c r="H16" s="10" t="n">
        <f aca="false">MEDIAN(D16:F16)</f>
        <v>7</v>
      </c>
      <c r="I16" s="10" t="n">
        <f aca="false">MAX(D16:F16)</f>
        <v>8</v>
      </c>
    </row>
    <row r="17" customFormat="false" ht="15" hidden="false" customHeight="false" outlineLevel="0" collapsed="false">
      <c r="A17" s="7" t="s">
        <v>47</v>
      </c>
      <c r="B17" s="7" t="s">
        <v>48</v>
      </c>
      <c r="C17" s="10" t="s">
        <v>62</v>
      </c>
      <c r="D17" s="8" t="n">
        <v>6</v>
      </c>
      <c r="E17" s="8" t="n">
        <v>5</v>
      </c>
      <c r="F17" s="8" t="n">
        <v>8</v>
      </c>
      <c r="G17" s="10" t="n">
        <f aca="false">MIN(D17:F17)</f>
        <v>5</v>
      </c>
      <c r="H17" s="10" t="n">
        <f aca="false">MEDIAN(D17:F17)</f>
        <v>6</v>
      </c>
      <c r="I17" s="10" t="n">
        <f aca="false">MAX(D17:F17)</f>
        <v>8</v>
      </c>
    </row>
    <row r="18" customFormat="false" ht="15" hidden="false" customHeight="false" outlineLevel="0" collapsed="false">
      <c r="A18" s="7" t="s">
        <v>39</v>
      </c>
      <c r="B18" s="7" t="s">
        <v>40</v>
      </c>
      <c r="C18" s="10" t="s">
        <v>63</v>
      </c>
      <c r="D18" s="8" t="n">
        <v>6</v>
      </c>
      <c r="E18" s="8" t="n">
        <v>6</v>
      </c>
      <c r="F18" s="8" t="n">
        <v>7</v>
      </c>
      <c r="G18" s="10" t="n">
        <f aca="false">MIN(D18:F18)</f>
        <v>6</v>
      </c>
      <c r="H18" s="10" t="n">
        <f aca="false">MEDIAN(D18:F18)</f>
        <v>6</v>
      </c>
      <c r="I18" s="10" t="n">
        <f aca="false">MAX(D18:F18)</f>
        <v>7</v>
      </c>
    </row>
    <row r="19" customFormat="false" ht="15" hidden="false" customHeight="false" outlineLevel="0" collapsed="false">
      <c r="A19" s="7" t="s">
        <v>41</v>
      </c>
      <c r="B19" s="7" t="s">
        <v>42</v>
      </c>
      <c r="C19" s="10" t="s">
        <v>63</v>
      </c>
      <c r="D19" s="8" t="n">
        <v>7</v>
      </c>
      <c r="E19" s="8" t="n">
        <v>8</v>
      </c>
      <c r="F19" s="8" t="n">
        <v>9</v>
      </c>
      <c r="G19" s="10" t="n">
        <f aca="false">MIN(D19:F19)</f>
        <v>7</v>
      </c>
      <c r="H19" s="10" t="n">
        <f aca="false">MEDIAN(D19:F19)</f>
        <v>8</v>
      </c>
      <c r="I19" s="10" t="n">
        <f aca="false">MAX(D19:F19)</f>
        <v>9</v>
      </c>
    </row>
    <row r="20" customFormat="false" ht="15" hidden="false" customHeight="false" outlineLevel="0" collapsed="false">
      <c r="A20" s="7" t="s">
        <v>43</v>
      </c>
      <c r="B20" s="7" t="s">
        <v>44</v>
      </c>
      <c r="C20" s="10" t="s">
        <v>63</v>
      </c>
      <c r="D20" s="8" t="n">
        <v>3</v>
      </c>
      <c r="E20" s="8" t="n">
        <v>5</v>
      </c>
      <c r="F20" s="8" t="n">
        <v>5</v>
      </c>
      <c r="G20" s="10" t="n">
        <f aca="false">MIN(D20:F20)</f>
        <v>3</v>
      </c>
      <c r="H20" s="10" t="n">
        <f aca="false">MEDIAN(D20:F20)</f>
        <v>5</v>
      </c>
      <c r="I20" s="10" t="n">
        <f aca="false">MAX(D20:F20)</f>
        <v>5</v>
      </c>
    </row>
    <row r="21" customFormat="false" ht="15" hidden="false" customHeight="false" outlineLevel="0" collapsed="false">
      <c r="A21" s="7" t="s">
        <v>45</v>
      </c>
      <c r="B21" s="7" t="s">
        <v>46</v>
      </c>
      <c r="C21" s="10" t="s">
        <v>63</v>
      </c>
      <c r="D21" s="8" t="n">
        <v>3</v>
      </c>
      <c r="E21" s="8" t="n">
        <v>3</v>
      </c>
      <c r="F21" s="8" t="n">
        <v>5</v>
      </c>
      <c r="G21" s="10" t="n">
        <f aca="false">MIN(D21:F21)</f>
        <v>3</v>
      </c>
      <c r="H21" s="10" t="n">
        <f aca="false">MEDIAN(D21:F21)</f>
        <v>3</v>
      </c>
      <c r="I21" s="10" t="n">
        <f aca="false">MAX(D21:F21)</f>
        <v>5</v>
      </c>
    </row>
    <row r="22" customFormat="false" ht="15" hidden="false" customHeight="false" outlineLevel="0" collapsed="false">
      <c r="A22" s="7" t="s">
        <v>47</v>
      </c>
      <c r="B22" s="7" t="s">
        <v>48</v>
      </c>
      <c r="C22" s="10" t="s">
        <v>63</v>
      </c>
      <c r="D22" s="8" t="n">
        <v>2</v>
      </c>
      <c r="E22" s="8" t="n">
        <v>4</v>
      </c>
      <c r="F22" s="8" t="n">
        <v>5</v>
      </c>
      <c r="G22" s="10" t="n">
        <f aca="false">MIN(D22:F22)</f>
        <v>2</v>
      </c>
      <c r="H22" s="10" t="n">
        <f aca="false">MEDIAN(D22:F22)</f>
        <v>4</v>
      </c>
      <c r="I22" s="10" t="n">
        <f aca="false">MAX(D22:F22)</f>
        <v>5</v>
      </c>
    </row>
    <row r="23" customFormat="false" ht="15" hidden="false" customHeight="false" outlineLevel="0" collapsed="false">
      <c r="A23" s="7" t="s">
        <v>39</v>
      </c>
      <c r="B23" s="7" t="s">
        <v>40</v>
      </c>
      <c r="C23" s="10" t="s">
        <v>64</v>
      </c>
      <c r="D23" s="8" t="n">
        <v>5</v>
      </c>
      <c r="E23" s="8" t="n">
        <v>4</v>
      </c>
      <c r="F23" s="8" t="n">
        <v>5</v>
      </c>
      <c r="G23" s="10" t="n">
        <f aca="false">MIN(D23:F23)</f>
        <v>4</v>
      </c>
      <c r="H23" s="10" t="n">
        <f aca="false">MEDIAN(D23:F23)</f>
        <v>5</v>
      </c>
      <c r="I23" s="10" t="n">
        <f aca="false">MAX(D23:F23)</f>
        <v>5</v>
      </c>
    </row>
    <row r="24" customFormat="false" ht="15" hidden="false" customHeight="false" outlineLevel="0" collapsed="false">
      <c r="A24" s="7" t="s">
        <v>41</v>
      </c>
      <c r="B24" s="7" t="s">
        <v>42</v>
      </c>
      <c r="C24" s="10" t="s">
        <v>64</v>
      </c>
      <c r="D24" s="8" t="n">
        <v>10</v>
      </c>
      <c r="E24" s="8" t="n">
        <v>9</v>
      </c>
      <c r="F24" s="8" t="n">
        <v>9</v>
      </c>
      <c r="G24" s="10" t="n">
        <f aca="false">MIN(D24:F24)</f>
        <v>9</v>
      </c>
      <c r="H24" s="10" t="n">
        <f aca="false">MEDIAN(D24:F24)</f>
        <v>9</v>
      </c>
      <c r="I24" s="10" t="n">
        <f aca="false">MAX(D24:F24)</f>
        <v>10</v>
      </c>
    </row>
    <row r="25" customFormat="false" ht="15" hidden="false" customHeight="false" outlineLevel="0" collapsed="false">
      <c r="A25" s="7" t="s">
        <v>43</v>
      </c>
      <c r="B25" s="7" t="s">
        <v>44</v>
      </c>
      <c r="C25" s="10" t="s">
        <v>64</v>
      </c>
      <c r="D25" s="8" t="n">
        <v>4</v>
      </c>
      <c r="E25" s="8" t="n">
        <v>2</v>
      </c>
      <c r="F25" s="8" t="n">
        <v>3</v>
      </c>
      <c r="G25" s="10" t="n">
        <f aca="false">MIN(D25:F25)</f>
        <v>2</v>
      </c>
      <c r="H25" s="10" t="n">
        <f aca="false">MEDIAN(D25:F25)</f>
        <v>3</v>
      </c>
      <c r="I25" s="10" t="n">
        <f aca="false">MAX(D25:F25)</f>
        <v>4</v>
      </c>
    </row>
    <row r="26" customFormat="false" ht="15" hidden="false" customHeight="false" outlineLevel="0" collapsed="false">
      <c r="A26" s="7" t="s">
        <v>45</v>
      </c>
      <c r="B26" s="7" t="s">
        <v>46</v>
      </c>
      <c r="C26" s="10" t="s">
        <v>64</v>
      </c>
      <c r="D26" s="8" t="n">
        <v>4</v>
      </c>
      <c r="E26" s="8" t="n">
        <v>2</v>
      </c>
      <c r="F26" s="8" t="n">
        <v>4</v>
      </c>
      <c r="G26" s="10" t="n">
        <f aca="false">MIN(D26:F26)</f>
        <v>2</v>
      </c>
      <c r="H26" s="10" t="n">
        <f aca="false">MEDIAN(D26:F26)</f>
        <v>4</v>
      </c>
      <c r="I26" s="10" t="n">
        <f aca="false">MAX(D26:F26)</f>
        <v>4</v>
      </c>
    </row>
    <row r="27" customFormat="false" ht="15" hidden="false" customHeight="false" outlineLevel="0" collapsed="false">
      <c r="A27" s="7" t="s">
        <v>47</v>
      </c>
      <c r="B27" s="7" t="s">
        <v>48</v>
      </c>
      <c r="C27" s="10" t="s">
        <v>64</v>
      </c>
      <c r="D27" s="8" t="n">
        <v>5</v>
      </c>
      <c r="E27" s="8" t="n">
        <v>3</v>
      </c>
      <c r="F27" s="8" t="n">
        <v>3</v>
      </c>
      <c r="G27" s="10" t="n">
        <f aca="false">MIN(D27:F27)</f>
        <v>3</v>
      </c>
      <c r="H27" s="10" t="n">
        <f aca="false">MEDIAN(D27:F27)</f>
        <v>3</v>
      </c>
      <c r="I27" s="10" t="n">
        <f aca="false">MAX(D27:F27)</f>
        <v>5</v>
      </c>
    </row>
    <row r="28" customFormat="false" ht="15" hidden="false" customHeight="false" outlineLevel="0" collapsed="false">
      <c r="A28" s="7" t="s">
        <v>39</v>
      </c>
      <c r="B28" s="7" t="s">
        <v>40</v>
      </c>
      <c r="C28" s="10" t="s">
        <v>65</v>
      </c>
      <c r="D28" s="8" t="n">
        <v>5</v>
      </c>
      <c r="E28" s="8" t="n">
        <v>8</v>
      </c>
      <c r="F28" s="8" t="n">
        <v>6</v>
      </c>
      <c r="G28" s="10" t="n">
        <f aca="false">MIN(D28:F28)</f>
        <v>5</v>
      </c>
      <c r="H28" s="10" t="n">
        <f aca="false">MEDIAN(D28:F28)</f>
        <v>6</v>
      </c>
      <c r="I28" s="10" t="n">
        <f aca="false">MAX(D28:F28)</f>
        <v>8</v>
      </c>
    </row>
    <row r="29" customFormat="false" ht="15" hidden="false" customHeight="false" outlineLevel="0" collapsed="false">
      <c r="A29" s="7" t="s">
        <v>41</v>
      </c>
      <c r="B29" s="7" t="s">
        <v>42</v>
      </c>
      <c r="C29" s="10" t="s">
        <v>65</v>
      </c>
      <c r="D29" s="8" t="n">
        <v>5</v>
      </c>
      <c r="E29" s="8" t="n">
        <v>6</v>
      </c>
      <c r="F29" s="8" t="n">
        <v>6</v>
      </c>
      <c r="G29" s="10" t="n">
        <f aca="false">MIN(D29:F29)</f>
        <v>5</v>
      </c>
      <c r="H29" s="10" t="n">
        <f aca="false">MEDIAN(D29:F29)</f>
        <v>6</v>
      </c>
      <c r="I29" s="10" t="n">
        <f aca="false">MAX(D29:F29)</f>
        <v>6</v>
      </c>
    </row>
    <row r="30" customFormat="false" ht="15" hidden="false" customHeight="false" outlineLevel="0" collapsed="false">
      <c r="A30" s="7" t="s">
        <v>43</v>
      </c>
      <c r="B30" s="7" t="s">
        <v>44</v>
      </c>
      <c r="C30" s="10" t="s">
        <v>65</v>
      </c>
      <c r="D30" s="8" t="n">
        <v>7</v>
      </c>
      <c r="E30" s="8" t="n">
        <v>8</v>
      </c>
      <c r="F30" s="8" t="n">
        <v>7</v>
      </c>
      <c r="G30" s="10" t="n">
        <f aca="false">MIN(D30:F30)</f>
        <v>7</v>
      </c>
      <c r="H30" s="10" t="n">
        <f aca="false">MEDIAN(D30:F30)</f>
        <v>7</v>
      </c>
      <c r="I30" s="10" t="n">
        <f aca="false">MAX(D30:F30)</f>
        <v>8</v>
      </c>
    </row>
    <row r="31" customFormat="false" ht="15" hidden="false" customHeight="false" outlineLevel="0" collapsed="false">
      <c r="A31" s="7" t="s">
        <v>45</v>
      </c>
      <c r="B31" s="7" t="s">
        <v>46</v>
      </c>
      <c r="C31" s="10" t="s">
        <v>65</v>
      </c>
      <c r="D31" s="8" t="n">
        <v>4</v>
      </c>
      <c r="E31" s="8" t="n">
        <v>6</v>
      </c>
      <c r="F31" s="8" t="n">
        <v>5</v>
      </c>
      <c r="G31" s="10" t="n">
        <f aca="false">MIN(D31:F31)</f>
        <v>4</v>
      </c>
      <c r="H31" s="10" t="n">
        <f aca="false">MEDIAN(D31:F31)</f>
        <v>5</v>
      </c>
      <c r="I31" s="10" t="n">
        <f aca="false">MAX(D31:F31)</f>
        <v>6</v>
      </c>
    </row>
    <row r="32" customFormat="false" ht="15" hidden="false" customHeight="false" outlineLevel="0" collapsed="false">
      <c r="A32" s="7" t="s">
        <v>47</v>
      </c>
      <c r="B32" s="7" t="s">
        <v>48</v>
      </c>
      <c r="C32" s="10" t="s">
        <v>65</v>
      </c>
      <c r="D32" s="8" t="n">
        <v>5</v>
      </c>
      <c r="E32" s="8" t="n">
        <v>7</v>
      </c>
      <c r="F32" s="8" t="n">
        <v>7</v>
      </c>
      <c r="G32" s="10" t="n">
        <f aca="false">MIN(D32:F32)</f>
        <v>5</v>
      </c>
      <c r="H32" s="10" t="n">
        <f aca="false">MEDIAN(D32:F32)</f>
        <v>7</v>
      </c>
      <c r="I32" s="10" t="n">
        <f aca="false">MAX(D32:F32)</f>
        <v>7</v>
      </c>
    </row>
    <row r="33" customFormat="false" ht="15" hidden="false" customHeight="false" outlineLevel="0" collapsed="false">
      <c r="A33" s="7" t="s">
        <v>39</v>
      </c>
      <c r="B33" s="7" t="s">
        <v>40</v>
      </c>
      <c r="C33" s="10" t="s">
        <v>66</v>
      </c>
      <c r="D33" s="8" t="n">
        <v>9</v>
      </c>
      <c r="E33" s="8" t="n">
        <v>10</v>
      </c>
      <c r="F33" s="8" t="n">
        <v>7</v>
      </c>
      <c r="G33" s="10" t="n">
        <f aca="false">MIN(D33:F33)</f>
        <v>7</v>
      </c>
      <c r="H33" s="10" t="n">
        <f aca="false">MEDIAN(D33:F33)</f>
        <v>9</v>
      </c>
      <c r="I33" s="10" t="n">
        <f aca="false">MAX(D33:F33)</f>
        <v>10</v>
      </c>
    </row>
    <row r="34" customFormat="false" ht="15" hidden="false" customHeight="false" outlineLevel="0" collapsed="false">
      <c r="A34" s="7" t="s">
        <v>41</v>
      </c>
      <c r="B34" s="7" t="s">
        <v>42</v>
      </c>
      <c r="C34" s="10" t="s">
        <v>66</v>
      </c>
      <c r="D34" s="8" t="n">
        <v>8</v>
      </c>
      <c r="E34" s="8" t="n">
        <v>10</v>
      </c>
      <c r="F34" s="8" t="n">
        <v>7</v>
      </c>
      <c r="G34" s="10" t="n">
        <f aca="false">MIN(D34:F34)</f>
        <v>7</v>
      </c>
      <c r="H34" s="10" t="n">
        <f aca="false">MEDIAN(D34:F34)</f>
        <v>8</v>
      </c>
      <c r="I34" s="10" t="n">
        <f aca="false">MAX(D34:F34)</f>
        <v>10</v>
      </c>
    </row>
    <row r="35" customFormat="false" ht="15" hidden="false" customHeight="false" outlineLevel="0" collapsed="false">
      <c r="A35" s="7" t="s">
        <v>43</v>
      </c>
      <c r="B35" s="7" t="s">
        <v>44</v>
      </c>
      <c r="C35" s="10" t="s">
        <v>66</v>
      </c>
      <c r="D35" s="8" t="n">
        <v>5</v>
      </c>
      <c r="E35" s="8" t="n">
        <v>5</v>
      </c>
      <c r="F35" s="8" t="n">
        <v>4</v>
      </c>
      <c r="G35" s="10" t="n">
        <f aca="false">MIN(D35:F35)</f>
        <v>4</v>
      </c>
      <c r="H35" s="10" t="n">
        <f aca="false">MEDIAN(D35:F35)</f>
        <v>5</v>
      </c>
      <c r="I35" s="10" t="n">
        <f aca="false">MAX(D35:F35)</f>
        <v>5</v>
      </c>
    </row>
    <row r="36" customFormat="false" ht="15" hidden="false" customHeight="false" outlineLevel="0" collapsed="false">
      <c r="A36" s="7" t="s">
        <v>45</v>
      </c>
      <c r="B36" s="7" t="s">
        <v>46</v>
      </c>
      <c r="C36" s="10" t="s">
        <v>66</v>
      </c>
      <c r="D36" s="8" t="n">
        <v>7</v>
      </c>
      <c r="E36" s="8" t="n">
        <v>8</v>
      </c>
      <c r="F36" s="8" t="n">
        <v>7</v>
      </c>
      <c r="G36" s="10" t="n">
        <f aca="false">MIN(D36:F36)</f>
        <v>7</v>
      </c>
      <c r="H36" s="10" t="n">
        <f aca="false">MEDIAN(D36:F36)</f>
        <v>7</v>
      </c>
      <c r="I36" s="10" t="n">
        <f aca="false">MAX(D36:F36)</f>
        <v>8</v>
      </c>
    </row>
    <row r="37" customFormat="false" ht="15" hidden="false" customHeight="false" outlineLevel="0" collapsed="false">
      <c r="A37" s="7" t="s">
        <v>47</v>
      </c>
      <c r="B37" s="7" t="s">
        <v>48</v>
      </c>
      <c r="C37" s="10" t="s">
        <v>66</v>
      </c>
      <c r="D37" s="8" t="n">
        <v>4</v>
      </c>
      <c r="E37" s="8" t="n">
        <v>5</v>
      </c>
      <c r="F37" s="8" t="n">
        <v>3</v>
      </c>
      <c r="G37" s="10" t="n">
        <f aca="false">MIN(D37:F37)</f>
        <v>3</v>
      </c>
      <c r="H37" s="10" t="n">
        <f aca="false">MEDIAN(D37:F37)</f>
        <v>4</v>
      </c>
      <c r="I37" s="10" t="n">
        <f aca="false">MAX(D37:F37)</f>
        <v>5</v>
      </c>
    </row>
    <row r="38" customFormat="false" ht="15" hidden="false" customHeight="false" outlineLevel="0" collapsed="false">
      <c r="A38" s="7" t="s">
        <v>39</v>
      </c>
      <c r="B38" s="7" t="s">
        <v>40</v>
      </c>
      <c r="C38" s="10" t="s">
        <v>67</v>
      </c>
      <c r="D38" s="8" t="n">
        <v>8</v>
      </c>
      <c r="E38" s="8" t="n">
        <v>6</v>
      </c>
      <c r="F38" s="8" t="n">
        <v>6</v>
      </c>
      <c r="G38" s="10" t="n">
        <f aca="false">MIN(D38:F38)</f>
        <v>6</v>
      </c>
      <c r="H38" s="10" t="n">
        <f aca="false">MEDIAN(D38:F38)</f>
        <v>6</v>
      </c>
      <c r="I38" s="10" t="n">
        <f aca="false">MAX(D38:F38)</f>
        <v>8</v>
      </c>
    </row>
    <row r="39" customFormat="false" ht="15" hidden="false" customHeight="false" outlineLevel="0" collapsed="false">
      <c r="A39" s="7" t="s">
        <v>41</v>
      </c>
      <c r="B39" s="7" t="s">
        <v>42</v>
      </c>
      <c r="C39" s="10" t="s">
        <v>67</v>
      </c>
      <c r="D39" s="8" t="n">
        <v>8</v>
      </c>
      <c r="E39" s="8" t="n">
        <v>7</v>
      </c>
      <c r="F39" s="8" t="n">
        <v>5</v>
      </c>
      <c r="G39" s="10" t="n">
        <f aca="false">MIN(D39:F39)</f>
        <v>5</v>
      </c>
      <c r="H39" s="10" t="n">
        <f aca="false">MEDIAN(D39:F39)</f>
        <v>7</v>
      </c>
      <c r="I39" s="10" t="n">
        <f aca="false">MAX(D39:F39)</f>
        <v>8</v>
      </c>
    </row>
    <row r="40" customFormat="false" ht="15" hidden="false" customHeight="false" outlineLevel="0" collapsed="false">
      <c r="A40" s="7" t="s">
        <v>43</v>
      </c>
      <c r="B40" s="7" t="s">
        <v>44</v>
      </c>
      <c r="C40" s="10" t="s">
        <v>67</v>
      </c>
      <c r="D40" s="8" t="n">
        <v>5</v>
      </c>
      <c r="E40" s="8" t="n">
        <v>3</v>
      </c>
      <c r="F40" s="8" t="n">
        <v>2</v>
      </c>
      <c r="G40" s="10" t="n">
        <f aca="false">MIN(D40:F40)</f>
        <v>2</v>
      </c>
      <c r="H40" s="10" t="n">
        <f aca="false">MEDIAN(D40:F40)</f>
        <v>3</v>
      </c>
      <c r="I40" s="10" t="n">
        <f aca="false">MAX(D40:F40)</f>
        <v>5</v>
      </c>
    </row>
    <row r="41" customFormat="false" ht="15" hidden="false" customHeight="false" outlineLevel="0" collapsed="false">
      <c r="A41" s="7" t="s">
        <v>45</v>
      </c>
      <c r="B41" s="7" t="s">
        <v>46</v>
      </c>
      <c r="C41" s="10" t="s">
        <v>67</v>
      </c>
      <c r="D41" s="8" t="n">
        <v>3</v>
      </c>
      <c r="E41" s="8" t="n">
        <v>3</v>
      </c>
      <c r="F41" s="8" t="n">
        <v>2</v>
      </c>
      <c r="G41" s="10" t="n">
        <f aca="false">MIN(D41:F41)</f>
        <v>2</v>
      </c>
      <c r="H41" s="10" t="n">
        <f aca="false">MEDIAN(D41:F41)</f>
        <v>3</v>
      </c>
      <c r="I41" s="10" t="n">
        <f aca="false">MAX(D41:F41)</f>
        <v>3</v>
      </c>
    </row>
    <row r="42" customFormat="false" ht="15" hidden="false" customHeight="false" outlineLevel="0" collapsed="false">
      <c r="A42" s="7" t="s">
        <v>47</v>
      </c>
      <c r="B42" s="7" t="s">
        <v>48</v>
      </c>
      <c r="C42" s="10" t="s">
        <v>67</v>
      </c>
      <c r="D42" s="8" t="n">
        <v>5</v>
      </c>
      <c r="E42" s="8" t="n">
        <v>4</v>
      </c>
      <c r="F42" s="8" t="n">
        <v>4</v>
      </c>
      <c r="G42" s="10" t="n">
        <f aca="false">MIN(D42:F42)</f>
        <v>4</v>
      </c>
      <c r="H42" s="10" t="n">
        <f aca="false">MEDIAN(D42:F42)</f>
        <v>4</v>
      </c>
      <c r="I42" s="10" t="n">
        <f aca="false">MAX(D42:F42)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9" min="3" style="1" width="12"/>
  </cols>
  <sheetData>
    <row r="1" customFormat="false" ht="17.35" hidden="false" customHeight="false" outlineLevel="0" collapsed="false">
      <c r="A1" s="2" t="s">
        <v>68</v>
      </c>
    </row>
    <row r="2" customFormat="false" ht="15" hidden="false" customHeight="false" outlineLevel="0" collapsed="false">
      <c r="A2" s="4" t="s">
        <v>52</v>
      </c>
    </row>
    <row r="3" customFormat="false" ht="15" hidden="false" customHeight="false" outlineLevel="0" collapsed="false">
      <c r="A3" s="6" t="s">
        <v>13</v>
      </c>
      <c r="B3" s="6" t="s">
        <v>14</v>
      </c>
      <c r="C3" s="6"/>
      <c r="D3" s="6" t="s">
        <v>53</v>
      </c>
      <c r="E3" s="6" t="s">
        <v>54</v>
      </c>
      <c r="F3" s="6" t="s">
        <v>55</v>
      </c>
      <c r="G3" s="6" t="s">
        <v>56</v>
      </c>
      <c r="H3" s="6" t="s">
        <v>57</v>
      </c>
      <c r="I3" s="6" t="s">
        <v>58</v>
      </c>
    </row>
    <row r="4" customFormat="false" ht="15" hidden="false" customHeight="false" outlineLevel="0" collapsed="false">
      <c r="A4" s="7" t="s">
        <v>17</v>
      </c>
      <c r="B4" s="7" t="s">
        <v>18</v>
      </c>
      <c r="C4" s="7"/>
      <c r="D4" s="8" t="n">
        <v>7</v>
      </c>
      <c r="E4" s="8" t="n">
        <v>6</v>
      </c>
      <c r="F4" s="8" t="n">
        <v>9</v>
      </c>
      <c r="G4" s="10" t="n">
        <f aca="false">MIN(D4:F4)</f>
        <v>6</v>
      </c>
      <c r="H4" s="10" t="n">
        <f aca="false">MEDIAN(D4:F4)</f>
        <v>7</v>
      </c>
      <c r="I4" s="10" t="n">
        <f aca="false">MAX(D4:F4)</f>
        <v>9</v>
      </c>
    </row>
    <row r="5" customFormat="false" ht="15" hidden="false" customHeight="false" outlineLevel="0" collapsed="false">
      <c r="A5" s="7" t="s">
        <v>21</v>
      </c>
      <c r="B5" s="7" t="s">
        <v>22</v>
      </c>
      <c r="C5" s="7"/>
      <c r="D5" s="8" t="n">
        <v>4</v>
      </c>
      <c r="E5" s="8" t="n">
        <v>6</v>
      </c>
      <c r="F5" s="8" t="n">
        <v>5</v>
      </c>
      <c r="G5" s="10" t="n">
        <f aca="false">MIN(D5:F5)</f>
        <v>4</v>
      </c>
      <c r="H5" s="10" t="n">
        <f aca="false">MEDIAN(D5:F5)</f>
        <v>5</v>
      </c>
      <c r="I5" s="10" t="n">
        <f aca="false">MAX(D5:F5)</f>
        <v>6</v>
      </c>
    </row>
    <row r="6" customFormat="false" ht="15" hidden="false" customHeight="false" outlineLevel="0" collapsed="false">
      <c r="A6" s="7" t="s">
        <v>25</v>
      </c>
      <c r="B6" s="7" t="s">
        <v>26</v>
      </c>
      <c r="C6" s="7"/>
      <c r="D6" s="8" t="n">
        <v>4</v>
      </c>
      <c r="E6" s="8" t="n">
        <v>3</v>
      </c>
      <c r="F6" s="8" t="n">
        <v>6</v>
      </c>
      <c r="G6" s="10" t="n">
        <f aca="false">MIN(D6:F6)</f>
        <v>3</v>
      </c>
      <c r="H6" s="10" t="n">
        <f aca="false">MEDIAN(D6:F6)</f>
        <v>4</v>
      </c>
      <c r="I6" s="10" t="n">
        <f aca="false">MAX(D6:F6)</f>
        <v>6</v>
      </c>
    </row>
    <row r="7" customFormat="false" ht="15" hidden="false" customHeight="false" outlineLevel="0" collapsed="false">
      <c r="A7" s="7" t="s">
        <v>28</v>
      </c>
      <c r="B7" s="7" t="s">
        <v>29</v>
      </c>
      <c r="C7" s="7"/>
      <c r="D7" s="8" t="n">
        <v>5</v>
      </c>
      <c r="E7" s="8" t="n">
        <v>7</v>
      </c>
      <c r="F7" s="8" t="n">
        <v>6</v>
      </c>
      <c r="G7" s="10" t="n">
        <f aca="false">MIN(D7:F7)</f>
        <v>5</v>
      </c>
      <c r="H7" s="10" t="n">
        <f aca="false">MEDIAN(D7:F7)</f>
        <v>6</v>
      </c>
      <c r="I7" s="10" t="n">
        <f aca="false">MAX(D7:F7)</f>
        <v>7</v>
      </c>
    </row>
    <row r="8" customFormat="false" ht="15" hidden="false" customHeight="false" outlineLevel="0" collapsed="false">
      <c r="A8" s="7" t="s">
        <v>31</v>
      </c>
      <c r="B8" s="7" t="s">
        <v>32</v>
      </c>
      <c r="C8" s="7"/>
      <c r="D8" s="8" t="n">
        <v>9</v>
      </c>
      <c r="E8" s="8" t="n">
        <v>8</v>
      </c>
      <c r="F8" s="8" t="n">
        <v>10</v>
      </c>
      <c r="G8" s="10" t="n">
        <f aca="false">MIN(D8:F8)</f>
        <v>8</v>
      </c>
      <c r="H8" s="10" t="n">
        <f aca="false">MEDIAN(D8:F8)</f>
        <v>9</v>
      </c>
      <c r="I8" s="10" t="n">
        <f aca="false">MAX(D8:F8)</f>
        <v>10</v>
      </c>
    </row>
    <row r="9" customFormat="false" ht="15" hidden="false" customHeight="false" outlineLevel="0" collapsed="false">
      <c r="A9" s="7" t="s">
        <v>34</v>
      </c>
      <c r="B9" s="7" t="s">
        <v>35</v>
      </c>
      <c r="C9" s="7"/>
      <c r="D9" s="8" t="n">
        <v>2</v>
      </c>
      <c r="E9" s="8" t="n">
        <v>4</v>
      </c>
      <c r="F9" s="8" t="n">
        <v>3</v>
      </c>
      <c r="G9" s="10" t="n">
        <f aca="false">MIN(D9:F9)</f>
        <v>2</v>
      </c>
      <c r="H9" s="10" t="n">
        <f aca="false">MEDIAN(D9:F9)</f>
        <v>3</v>
      </c>
      <c r="I9" s="10" t="n">
        <f aca="false">MAX(D9:F9)</f>
        <v>4</v>
      </c>
    </row>
    <row r="11" customFormat="false" ht="15" hidden="false" customHeight="false" outlineLevel="0" collapsed="false">
      <c r="A11" s="4" t="s">
        <v>59</v>
      </c>
    </row>
    <row r="12" customFormat="false" ht="15" hidden="false" customHeight="false" outlineLevel="0" collapsed="false">
      <c r="A12" s="6" t="s">
        <v>60</v>
      </c>
      <c r="B12" s="6" t="s">
        <v>61</v>
      </c>
      <c r="C12" s="6" t="s">
        <v>14</v>
      </c>
      <c r="D12" s="6" t="s">
        <v>53</v>
      </c>
      <c r="E12" s="6" t="s">
        <v>54</v>
      </c>
      <c r="F12" s="6" t="s">
        <v>55</v>
      </c>
      <c r="G12" s="6" t="s">
        <v>56</v>
      </c>
      <c r="H12" s="6" t="s">
        <v>57</v>
      </c>
      <c r="I12" s="6" t="s">
        <v>58</v>
      </c>
    </row>
    <row r="13" customFormat="false" ht="15" hidden="false" customHeight="false" outlineLevel="0" collapsed="false">
      <c r="A13" s="7" t="s">
        <v>39</v>
      </c>
      <c r="B13" s="7" t="s">
        <v>40</v>
      </c>
      <c r="C13" s="10" t="s">
        <v>62</v>
      </c>
      <c r="D13" s="8" t="n">
        <v>7</v>
      </c>
      <c r="E13" s="8" t="n">
        <v>8</v>
      </c>
      <c r="F13" s="8" t="n">
        <v>9</v>
      </c>
      <c r="G13" s="10" t="n">
        <f aca="false">MIN(D13:F13)</f>
        <v>7</v>
      </c>
      <c r="H13" s="10" t="n">
        <f aca="false">MEDIAN(D13:F13)</f>
        <v>8</v>
      </c>
      <c r="I13" s="10" t="n">
        <f aca="false">MAX(D13:F13)</f>
        <v>9</v>
      </c>
    </row>
    <row r="14" customFormat="false" ht="15" hidden="false" customHeight="false" outlineLevel="0" collapsed="false">
      <c r="A14" s="7" t="s">
        <v>41</v>
      </c>
      <c r="B14" s="7" t="s">
        <v>42</v>
      </c>
      <c r="C14" s="10" t="s">
        <v>62</v>
      </c>
      <c r="D14" s="8" t="n">
        <v>4</v>
      </c>
      <c r="E14" s="8" t="n">
        <v>6</v>
      </c>
      <c r="F14" s="8" t="n">
        <v>6</v>
      </c>
      <c r="G14" s="10" t="n">
        <f aca="false">MIN(D14:F14)</f>
        <v>4</v>
      </c>
      <c r="H14" s="10" t="n">
        <f aca="false">MEDIAN(D14:F14)</f>
        <v>6</v>
      </c>
      <c r="I14" s="10" t="n">
        <f aca="false">MAX(D14:F14)</f>
        <v>6</v>
      </c>
    </row>
    <row r="15" customFormat="false" ht="15" hidden="false" customHeight="false" outlineLevel="0" collapsed="false">
      <c r="A15" s="7" t="s">
        <v>43</v>
      </c>
      <c r="B15" s="7" t="s">
        <v>44</v>
      </c>
      <c r="C15" s="10" t="s">
        <v>62</v>
      </c>
      <c r="D15" s="8" t="n">
        <v>7</v>
      </c>
      <c r="E15" s="8" t="n">
        <v>7</v>
      </c>
      <c r="F15" s="8" t="n">
        <v>9</v>
      </c>
      <c r="G15" s="10" t="n">
        <f aca="false">MIN(D15:F15)</f>
        <v>7</v>
      </c>
      <c r="H15" s="10" t="n">
        <f aca="false">MEDIAN(D15:F15)</f>
        <v>7</v>
      </c>
      <c r="I15" s="10" t="n">
        <f aca="false">MAX(D15:F15)</f>
        <v>9</v>
      </c>
    </row>
    <row r="16" customFormat="false" ht="15" hidden="false" customHeight="false" outlineLevel="0" collapsed="false">
      <c r="A16" s="7" t="s">
        <v>45</v>
      </c>
      <c r="B16" s="7" t="s">
        <v>46</v>
      </c>
      <c r="C16" s="10" t="s">
        <v>62</v>
      </c>
      <c r="D16" s="8" t="n">
        <v>3</v>
      </c>
      <c r="E16" s="8" t="n">
        <v>5</v>
      </c>
      <c r="F16" s="8" t="n">
        <v>6</v>
      </c>
      <c r="G16" s="10" t="n">
        <f aca="false">MIN(D16:F16)</f>
        <v>3</v>
      </c>
      <c r="H16" s="10" t="n">
        <f aca="false">MEDIAN(D16:F16)</f>
        <v>5</v>
      </c>
      <c r="I16" s="10" t="n">
        <f aca="false">MAX(D16:F16)</f>
        <v>6</v>
      </c>
    </row>
    <row r="17" customFormat="false" ht="15" hidden="false" customHeight="false" outlineLevel="0" collapsed="false">
      <c r="A17" s="7" t="s">
        <v>47</v>
      </c>
      <c r="B17" s="7" t="s">
        <v>48</v>
      </c>
      <c r="C17" s="10" t="s">
        <v>62</v>
      </c>
      <c r="D17" s="8" t="n">
        <v>7</v>
      </c>
      <c r="E17" s="8" t="n">
        <v>8</v>
      </c>
      <c r="F17" s="8" t="n">
        <v>10</v>
      </c>
      <c r="G17" s="10" t="n">
        <f aca="false">MIN(D17:F17)</f>
        <v>7</v>
      </c>
      <c r="H17" s="10" t="n">
        <f aca="false">MEDIAN(D17:F17)</f>
        <v>8</v>
      </c>
      <c r="I17" s="10" t="n">
        <f aca="false">MAX(D17:F17)</f>
        <v>10</v>
      </c>
    </row>
    <row r="18" customFormat="false" ht="15" hidden="false" customHeight="false" outlineLevel="0" collapsed="false">
      <c r="A18" s="7" t="s">
        <v>39</v>
      </c>
      <c r="B18" s="7" t="s">
        <v>40</v>
      </c>
      <c r="C18" s="10" t="s">
        <v>63</v>
      </c>
      <c r="D18" s="8" t="n">
        <v>7</v>
      </c>
      <c r="E18" s="8" t="n">
        <v>6</v>
      </c>
      <c r="F18" s="8" t="n">
        <v>6</v>
      </c>
      <c r="G18" s="10" t="n">
        <f aca="false">MIN(D18:F18)</f>
        <v>6</v>
      </c>
      <c r="H18" s="10" t="n">
        <f aca="false">MEDIAN(D18:F18)</f>
        <v>6</v>
      </c>
      <c r="I18" s="10" t="n">
        <f aca="false">MAX(D18:F18)</f>
        <v>7</v>
      </c>
    </row>
    <row r="19" customFormat="false" ht="15" hidden="false" customHeight="false" outlineLevel="0" collapsed="false">
      <c r="A19" s="7" t="s">
        <v>41</v>
      </c>
      <c r="B19" s="7" t="s">
        <v>42</v>
      </c>
      <c r="C19" s="10" t="s">
        <v>63</v>
      </c>
      <c r="D19" s="8" t="n">
        <v>10</v>
      </c>
      <c r="E19" s="8" t="n">
        <v>8</v>
      </c>
      <c r="F19" s="8" t="n">
        <v>9</v>
      </c>
      <c r="G19" s="10" t="n">
        <f aca="false">MIN(D19:F19)</f>
        <v>8</v>
      </c>
      <c r="H19" s="10" t="n">
        <f aca="false">MEDIAN(D19:F19)</f>
        <v>9</v>
      </c>
      <c r="I19" s="10" t="n">
        <f aca="false">MAX(D19:F19)</f>
        <v>10</v>
      </c>
    </row>
    <row r="20" customFormat="false" ht="15" hidden="false" customHeight="false" outlineLevel="0" collapsed="false">
      <c r="A20" s="7" t="s">
        <v>43</v>
      </c>
      <c r="B20" s="7" t="s">
        <v>44</v>
      </c>
      <c r="C20" s="10" t="s">
        <v>63</v>
      </c>
      <c r="D20" s="8" t="n">
        <v>5</v>
      </c>
      <c r="E20" s="8" t="n">
        <v>3</v>
      </c>
      <c r="F20" s="8" t="n">
        <v>5</v>
      </c>
      <c r="G20" s="10" t="n">
        <f aca="false">MIN(D20:F20)</f>
        <v>3</v>
      </c>
      <c r="H20" s="10" t="n">
        <f aca="false">MEDIAN(D20:F20)</f>
        <v>5</v>
      </c>
      <c r="I20" s="10" t="n">
        <f aca="false">MAX(D20:F20)</f>
        <v>5</v>
      </c>
    </row>
    <row r="21" customFormat="false" ht="15" hidden="false" customHeight="false" outlineLevel="0" collapsed="false">
      <c r="A21" s="7" t="s">
        <v>45</v>
      </c>
      <c r="B21" s="7" t="s">
        <v>46</v>
      </c>
      <c r="C21" s="10" t="s">
        <v>63</v>
      </c>
      <c r="D21" s="8" t="n">
        <v>5</v>
      </c>
      <c r="E21" s="8" t="n">
        <v>3</v>
      </c>
      <c r="F21" s="8" t="n">
        <v>3</v>
      </c>
      <c r="G21" s="10" t="n">
        <f aca="false">MIN(D21:F21)</f>
        <v>3</v>
      </c>
      <c r="H21" s="10" t="n">
        <f aca="false">MEDIAN(D21:F21)</f>
        <v>3</v>
      </c>
      <c r="I21" s="10" t="n">
        <f aca="false">MAX(D21:F21)</f>
        <v>5</v>
      </c>
    </row>
    <row r="22" customFormat="false" ht="15" hidden="false" customHeight="false" outlineLevel="0" collapsed="false">
      <c r="A22" s="7" t="s">
        <v>47</v>
      </c>
      <c r="B22" s="7" t="s">
        <v>48</v>
      </c>
      <c r="C22" s="10" t="s">
        <v>63</v>
      </c>
      <c r="D22" s="8" t="n">
        <v>5</v>
      </c>
      <c r="E22" s="8" t="n">
        <v>2</v>
      </c>
      <c r="F22" s="8" t="n">
        <v>4</v>
      </c>
      <c r="G22" s="10" t="n">
        <f aca="false">MIN(D22:F22)</f>
        <v>2</v>
      </c>
      <c r="H22" s="10" t="n">
        <f aca="false">MEDIAN(D22:F22)</f>
        <v>4</v>
      </c>
      <c r="I22" s="10" t="n">
        <f aca="false">MAX(D22:F22)</f>
        <v>5</v>
      </c>
    </row>
    <row r="23" customFormat="false" ht="15" hidden="false" customHeight="false" outlineLevel="0" collapsed="false">
      <c r="A23" s="7" t="s">
        <v>39</v>
      </c>
      <c r="B23" s="7" t="s">
        <v>40</v>
      </c>
      <c r="C23" s="10" t="s">
        <v>64</v>
      </c>
      <c r="D23" s="8" t="n">
        <v>4</v>
      </c>
      <c r="E23" s="8" t="n">
        <v>5</v>
      </c>
      <c r="F23" s="8" t="n">
        <v>5</v>
      </c>
      <c r="G23" s="10" t="n">
        <f aca="false">MIN(D23:F23)</f>
        <v>4</v>
      </c>
      <c r="H23" s="10" t="n">
        <f aca="false">MEDIAN(D23:F23)</f>
        <v>5</v>
      </c>
      <c r="I23" s="10" t="n">
        <f aca="false">MAX(D23:F23)</f>
        <v>5</v>
      </c>
    </row>
    <row r="24" customFormat="false" ht="15" hidden="false" customHeight="false" outlineLevel="0" collapsed="false">
      <c r="A24" s="7" t="s">
        <v>41</v>
      </c>
      <c r="B24" s="7" t="s">
        <v>42</v>
      </c>
      <c r="C24" s="10" t="s">
        <v>64</v>
      </c>
      <c r="D24" s="8" t="n">
        <v>8</v>
      </c>
      <c r="E24" s="8" t="n">
        <v>9</v>
      </c>
      <c r="F24" s="8" t="n">
        <v>8</v>
      </c>
      <c r="G24" s="10" t="n">
        <f aca="false">MIN(D24:F24)</f>
        <v>8</v>
      </c>
      <c r="H24" s="10" t="n">
        <f aca="false">MEDIAN(D24:F24)</f>
        <v>8</v>
      </c>
      <c r="I24" s="10" t="n">
        <f aca="false">MAX(D24:F24)</f>
        <v>9</v>
      </c>
    </row>
    <row r="25" customFormat="false" ht="15" hidden="false" customHeight="false" outlineLevel="0" collapsed="false">
      <c r="A25" s="7" t="s">
        <v>43</v>
      </c>
      <c r="B25" s="7" t="s">
        <v>44</v>
      </c>
      <c r="C25" s="10" t="s">
        <v>64</v>
      </c>
      <c r="D25" s="8" t="n">
        <v>3</v>
      </c>
      <c r="E25" s="8" t="n">
        <v>5</v>
      </c>
      <c r="F25" s="8" t="n">
        <v>4</v>
      </c>
      <c r="G25" s="10" t="n">
        <f aca="false">MIN(D25:F25)</f>
        <v>3</v>
      </c>
      <c r="H25" s="10" t="n">
        <f aca="false">MEDIAN(D25:F25)</f>
        <v>4</v>
      </c>
      <c r="I25" s="10" t="n">
        <f aca="false">MAX(D25:F25)</f>
        <v>5</v>
      </c>
    </row>
    <row r="26" customFormat="false" ht="15" hidden="false" customHeight="false" outlineLevel="0" collapsed="false">
      <c r="A26" s="7" t="s">
        <v>45</v>
      </c>
      <c r="B26" s="7" t="s">
        <v>46</v>
      </c>
      <c r="C26" s="10" t="s">
        <v>64</v>
      </c>
      <c r="D26" s="8" t="n">
        <v>2</v>
      </c>
      <c r="E26" s="8" t="n">
        <v>4</v>
      </c>
      <c r="F26" s="8" t="n">
        <v>4</v>
      </c>
      <c r="G26" s="10" t="n">
        <f aca="false">MIN(D26:F26)</f>
        <v>2</v>
      </c>
      <c r="H26" s="10" t="n">
        <f aca="false">MEDIAN(D26:F26)</f>
        <v>4</v>
      </c>
      <c r="I26" s="10" t="n">
        <f aca="false">MAX(D26:F26)</f>
        <v>4</v>
      </c>
    </row>
    <row r="27" customFormat="false" ht="15" hidden="false" customHeight="false" outlineLevel="0" collapsed="false">
      <c r="A27" s="7" t="s">
        <v>47</v>
      </c>
      <c r="B27" s="7" t="s">
        <v>48</v>
      </c>
      <c r="C27" s="10" t="s">
        <v>64</v>
      </c>
      <c r="D27" s="8" t="n">
        <v>3</v>
      </c>
      <c r="E27" s="8" t="n">
        <v>5</v>
      </c>
      <c r="F27" s="8" t="n">
        <v>3</v>
      </c>
      <c r="G27" s="10" t="n">
        <f aca="false">MIN(D27:F27)</f>
        <v>3</v>
      </c>
      <c r="H27" s="10" t="n">
        <f aca="false">MEDIAN(D27:F27)</f>
        <v>3</v>
      </c>
      <c r="I27" s="10" t="n">
        <f aca="false">MAX(D27:F27)</f>
        <v>5</v>
      </c>
    </row>
    <row r="28" customFormat="false" ht="15" hidden="false" customHeight="false" outlineLevel="0" collapsed="false">
      <c r="A28" s="7" t="s">
        <v>39</v>
      </c>
      <c r="B28" s="7" t="s">
        <v>40</v>
      </c>
      <c r="C28" s="10" t="s">
        <v>65</v>
      </c>
      <c r="D28" s="8" t="n">
        <v>7</v>
      </c>
      <c r="E28" s="8" t="n">
        <v>9</v>
      </c>
      <c r="F28" s="8" t="n">
        <v>6</v>
      </c>
      <c r="G28" s="10" t="n">
        <f aca="false">MIN(D28:F28)</f>
        <v>6</v>
      </c>
      <c r="H28" s="10" t="n">
        <f aca="false">MEDIAN(D28:F28)</f>
        <v>7</v>
      </c>
      <c r="I28" s="10" t="n">
        <f aca="false">MAX(D28:F28)</f>
        <v>9</v>
      </c>
    </row>
    <row r="29" customFormat="false" ht="15" hidden="false" customHeight="false" outlineLevel="0" collapsed="false">
      <c r="A29" s="7" t="s">
        <v>41</v>
      </c>
      <c r="B29" s="7" t="s">
        <v>42</v>
      </c>
      <c r="C29" s="10" t="s">
        <v>65</v>
      </c>
      <c r="D29" s="8" t="n">
        <v>5</v>
      </c>
      <c r="E29" s="8" t="n">
        <v>5</v>
      </c>
      <c r="F29" s="8" t="n">
        <v>4</v>
      </c>
      <c r="G29" s="10" t="n">
        <f aca="false">MIN(D29:F29)</f>
        <v>4</v>
      </c>
      <c r="H29" s="10" t="n">
        <f aca="false">MEDIAN(D29:F29)</f>
        <v>5</v>
      </c>
      <c r="I29" s="10" t="n">
        <f aca="false">MAX(D29:F29)</f>
        <v>5</v>
      </c>
    </row>
    <row r="30" customFormat="false" ht="15" hidden="false" customHeight="false" outlineLevel="0" collapsed="false">
      <c r="A30" s="7" t="s">
        <v>43</v>
      </c>
      <c r="B30" s="7" t="s">
        <v>44</v>
      </c>
      <c r="C30" s="10" t="s">
        <v>65</v>
      </c>
      <c r="D30" s="8" t="n">
        <v>8</v>
      </c>
      <c r="E30" s="8" t="n">
        <v>9</v>
      </c>
      <c r="F30" s="8" t="n">
        <v>8</v>
      </c>
      <c r="G30" s="10" t="n">
        <f aca="false">MIN(D30:F30)</f>
        <v>8</v>
      </c>
      <c r="H30" s="10" t="n">
        <f aca="false">MEDIAN(D30:F30)</f>
        <v>8</v>
      </c>
      <c r="I30" s="10" t="n">
        <f aca="false">MAX(D30:F30)</f>
        <v>9</v>
      </c>
    </row>
    <row r="31" customFormat="false" ht="15" hidden="false" customHeight="false" outlineLevel="0" collapsed="false">
      <c r="A31" s="7" t="s">
        <v>45</v>
      </c>
      <c r="B31" s="7" t="s">
        <v>46</v>
      </c>
      <c r="C31" s="10" t="s">
        <v>65</v>
      </c>
      <c r="D31" s="8" t="n">
        <v>6</v>
      </c>
      <c r="E31" s="8" t="n">
        <v>7</v>
      </c>
      <c r="F31" s="8" t="n">
        <v>5</v>
      </c>
      <c r="G31" s="10" t="n">
        <f aca="false">MIN(D31:F31)</f>
        <v>5</v>
      </c>
      <c r="H31" s="10" t="n">
        <f aca="false">MEDIAN(D31:F31)</f>
        <v>6</v>
      </c>
      <c r="I31" s="10" t="n">
        <f aca="false">MAX(D31:F31)</f>
        <v>7</v>
      </c>
    </row>
    <row r="32" customFormat="false" ht="15" hidden="false" customHeight="false" outlineLevel="0" collapsed="false">
      <c r="A32" s="7" t="s">
        <v>47</v>
      </c>
      <c r="B32" s="7" t="s">
        <v>48</v>
      </c>
      <c r="C32" s="10" t="s">
        <v>65</v>
      </c>
      <c r="D32" s="8" t="n">
        <v>8</v>
      </c>
      <c r="E32" s="8" t="n">
        <v>8</v>
      </c>
      <c r="F32" s="8" t="n">
        <v>6</v>
      </c>
      <c r="G32" s="10" t="n">
        <f aca="false">MIN(D32:F32)</f>
        <v>6</v>
      </c>
      <c r="H32" s="10" t="n">
        <f aca="false">MEDIAN(D32:F32)</f>
        <v>8</v>
      </c>
      <c r="I32" s="10" t="n">
        <f aca="false">MAX(D32:F32)</f>
        <v>8</v>
      </c>
    </row>
    <row r="33" customFormat="false" ht="15" hidden="false" customHeight="false" outlineLevel="0" collapsed="false">
      <c r="A33" s="7" t="s">
        <v>39</v>
      </c>
      <c r="B33" s="7" t="s">
        <v>40</v>
      </c>
      <c r="C33" s="10" t="s">
        <v>66</v>
      </c>
      <c r="D33" s="8" t="n">
        <v>10</v>
      </c>
      <c r="E33" s="8" t="n">
        <v>9</v>
      </c>
      <c r="F33" s="8" t="n">
        <v>7</v>
      </c>
      <c r="G33" s="10" t="n">
        <f aca="false">MIN(D33:F33)</f>
        <v>7</v>
      </c>
      <c r="H33" s="10" t="n">
        <f aca="false">MEDIAN(D33:F33)</f>
        <v>9</v>
      </c>
      <c r="I33" s="10" t="n">
        <f aca="false">MAX(D33:F33)</f>
        <v>10</v>
      </c>
    </row>
    <row r="34" customFormat="false" ht="15" hidden="false" customHeight="false" outlineLevel="0" collapsed="false">
      <c r="A34" s="7" t="s">
        <v>41</v>
      </c>
      <c r="B34" s="7" t="s">
        <v>42</v>
      </c>
      <c r="C34" s="10" t="s">
        <v>66</v>
      </c>
      <c r="D34" s="8" t="n">
        <v>7</v>
      </c>
      <c r="E34" s="8" t="n">
        <v>5</v>
      </c>
      <c r="F34" s="8" t="n">
        <v>4</v>
      </c>
      <c r="G34" s="10" t="n">
        <f aca="false">MIN(D34:F34)</f>
        <v>4</v>
      </c>
      <c r="H34" s="10" t="n">
        <f aca="false">MEDIAN(D34:F34)</f>
        <v>5</v>
      </c>
      <c r="I34" s="10" t="n">
        <f aca="false">MAX(D34:F34)</f>
        <v>7</v>
      </c>
    </row>
    <row r="35" customFormat="false" ht="15" hidden="false" customHeight="false" outlineLevel="0" collapsed="false">
      <c r="A35" s="7" t="s">
        <v>43</v>
      </c>
      <c r="B35" s="7" t="s">
        <v>44</v>
      </c>
      <c r="C35" s="10" t="s">
        <v>66</v>
      </c>
      <c r="D35" s="8" t="n">
        <v>6</v>
      </c>
      <c r="E35" s="8" t="n">
        <v>6</v>
      </c>
      <c r="F35" s="8" t="n">
        <v>5</v>
      </c>
      <c r="G35" s="10" t="n">
        <f aca="false">MIN(D35:F35)</f>
        <v>5</v>
      </c>
      <c r="H35" s="10" t="n">
        <f aca="false">MEDIAN(D35:F35)</f>
        <v>6</v>
      </c>
      <c r="I35" s="10" t="n">
        <f aca="false">MAX(D35:F35)</f>
        <v>6</v>
      </c>
    </row>
    <row r="36" customFormat="false" ht="15" hidden="false" customHeight="false" outlineLevel="0" collapsed="false">
      <c r="A36" s="7" t="s">
        <v>45</v>
      </c>
      <c r="B36" s="7" t="s">
        <v>46</v>
      </c>
      <c r="C36" s="10" t="s">
        <v>66</v>
      </c>
      <c r="D36" s="8" t="n">
        <v>6</v>
      </c>
      <c r="E36" s="8" t="n">
        <v>5</v>
      </c>
      <c r="F36" s="8" t="n">
        <v>5</v>
      </c>
      <c r="G36" s="10" t="n">
        <f aca="false">MIN(D36:F36)</f>
        <v>5</v>
      </c>
      <c r="H36" s="10" t="n">
        <f aca="false">MEDIAN(D36:F36)</f>
        <v>5</v>
      </c>
      <c r="I36" s="10" t="n">
        <f aca="false">MAX(D36:F36)</f>
        <v>6</v>
      </c>
    </row>
    <row r="37" customFormat="false" ht="15" hidden="false" customHeight="false" outlineLevel="0" collapsed="false">
      <c r="A37" s="7" t="s">
        <v>47</v>
      </c>
      <c r="B37" s="7" t="s">
        <v>48</v>
      </c>
      <c r="C37" s="10" t="s">
        <v>66</v>
      </c>
      <c r="D37" s="8" t="n">
        <v>6</v>
      </c>
      <c r="E37" s="8" t="n">
        <v>5</v>
      </c>
      <c r="F37" s="8" t="n">
        <v>4</v>
      </c>
      <c r="G37" s="10" t="n">
        <f aca="false">MIN(D37:F37)</f>
        <v>4</v>
      </c>
      <c r="H37" s="10" t="n">
        <f aca="false">MEDIAN(D37:F37)</f>
        <v>5</v>
      </c>
      <c r="I37" s="10" t="n">
        <f aca="false">MAX(D37:F37)</f>
        <v>6</v>
      </c>
    </row>
    <row r="38" customFormat="false" ht="15" hidden="false" customHeight="false" outlineLevel="0" collapsed="false">
      <c r="A38" s="7" t="s">
        <v>39</v>
      </c>
      <c r="B38" s="7" t="s">
        <v>40</v>
      </c>
      <c r="C38" s="10" t="s">
        <v>67</v>
      </c>
      <c r="D38" s="8" t="n">
        <v>5</v>
      </c>
      <c r="E38" s="8" t="n">
        <v>5</v>
      </c>
      <c r="F38" s="8" t="n">
        <v>7</v>
      </c>
      <c r="G38" s="10" t="n">
        <f aca="false">MIN(D38:F38)</f>
        <v>5</v>
      </c>
      <c r="H38" s="10" t="n">
        <f aca="false">MEDIAN(D38:F38)</f>
        <v>5</v>
      </c>
      <c r="I38" s="10" t="n">
        <f aca="false">MAX(D38:F38)</f>
        <v>7</v>
      </c>
    </row>
    <row r="39" customFormat="false" ht="15" hidden="false" customHeight="false" outlineLevel="0" collapsed="false">
      <c r="A39" s="7" t="s">
        <v>41</v>
      </c>
      <c r="B39" s="7" t="s">
        <v>42</v>
      </c>
      <c r="C39" s="10" t="s">
        <v>67</v>
      </c>
      <c r="D39" s="8" t="n">
        <v>7</v>
      </c>
      <c r="E39" s="8" t="n">
        <v>5</v>
      </c>
      <c r="F39" s="8" t="n">
        <v>8</v>
      </c>
      <c r="G39" s="10" t="n">
        <f aca="false">MIN(D39:F39)</f>
        <v>5</v>
      </c>
      <c r="H39" s="10" t="n">
        <f aca="false">MEDIAN(D39:F39)</f>
        <v>7</v>
      </c>
      <c r="I39" s="10" t="n">
        <f aca="false">MAX(D39:F39)</f>
        <v>8</v>
      </c>
    </row>
    <row r="40" customFormat="false" ht="15" hidden="false" customHeight="false" outlineLevel="0" collapsed="false">
      <c r="A40" s="7" t="s">
        <v>43</v>
      </c>
      <c r="B40" s="7" t="s">
        <v>44</v>
      </c>
      <c r="C40" s="10" t="s">
        <v>67</v>
      </c>
      <c r="D40" s="8" t="n">
        <v>3</v>
      </c>
      <c r="E40" s="8" t="n">
        <v>2</v>
      </c>
      <c r="F40" s="8" t="n">
        <v>5</v>
      </c>
      <c r="G40" s="10" t="n">
        <f aca="false">MIN(D40:F40)</f>
        <v>2</v>
      </c>
      <c r="H40" s="10" t="n">
        <f aca="false">MEDIAN(D40:F40)</f>
        <v>3</v>
      </c>
      <c r="I40" s="10" t="n">
        <f aca="false">MAX(D40:F40)</f>
        <v>5</v>
      </c>
    </row>
    <row r="41" customFormat="false" ht="15" hidden="false" customHeight="false" outlineLevel="0" collapsed="false">
      <c r="A41" s="7" t="s">
        <v>45</v>
      </c>
      <c r="B41" s="7" t="s">
        <v>46</v>
      </c>
      <c r="C41" s="10" t="s">
        <v>67</v>
      </c>
      <c r="D41" s="8" t="n">
        <v>2</v>
      </c>
      <c r="E41" s="8" t="n">
        <v>1</v>
      </c>
      <c r="F41" s="8" t="n">
        <v>2</v>
      </c>
      <c r="G41" s="10" t="n">
        <f aca="false">MIN(D41:F41)</f>
        <v>1</v>
      </c>
      <c r="H41" s="10" t="n">
        <f aca="false">MEDIAN(D41:F41)</f>
        <v>2</v>
      </c>
      <c r="I41" s="10" t="n">
        <f aca="false">MAX(D41:F41)</f>
        <v>2</v>
      </c>
    </row>
    <row r="42" customFormat="false" ht="15" hidden="false" customHeight="false" outlineLevel="0" collapsed="false">
      <c r="A42" s="7" t="s">
        <v>47</v>
      </c>
      <c r="B42" s="7" t="s">
        <v>48</v>
      </c>
      <c r="C42" s="10" t="s">
        <v>67</v>
      </c>
      <c r="D42" s="8" t="n">
        <v>4</v>
      </c>
      <c r="E42" s="8" t="n">
        <v>4</v>
      </c>
      <c r="F42" s="8" t="n">
        <v>5</v>
      </c>
      <c r="G42" s="10" t="n">
        <f aca="false">MIN(D42:F42)</f>
        <v>4</v>
      </c>
      <c r="H42" s="10" t="n">
        <f aca="false">MEDIAN(D42:F42)</f>
        <v>4</v>
      </c>
      <c r="I42" s="10" t="n">
        <f aca="false">MAX(D42:F42)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9" min="3" style="1" width="12"/>
  </cols>
  <sheetData>
    <row r="1" customFormat="false" ht="17.35" hidden="false" customHeight="false" outlineLevel="0" collapsed="false">
      <c r="A1" s="2" t="s">
        <v>69</v>
      </c>
    </row>
    <row r="2" customFormat="false" ht="15" hidden="false" customHeight="false" outlineLevel="0" collapsed="false">
      <c r="A2" s="4" t="s">
        <v>52</v>
      </c>
    </row>
    <row r="3" customFormat="false" ht="15" hidden="false" customHeight="false" outlineLevel="0" collapsed="false">
      <c r="A3" s="6" t="s">
        <v>13</v>
      </c>
      <c r="B3" s="6" t="s">
        <v>14</v>
      </c>
      <c r="C3" s="6"/>
      <c r="D3" s="6" t="s">
        <v>53</v>
      </c>
      <c r="E3" s="6" t="s">
        <v>54</v>
      </c>
      <c r="F3" s="6" t="s">
        <v>55</v>
      </c>
      <c r="G3" s="6" t="s">
        <v>56</v>
      </c>
      <c r="H3" s="6" t="s">
        <v>57</v>
      </c>
      <c r="I3" s="6" t="s">
        <v>58</v>
      </c>
    </row>
    <row r="4" customFormat="false" ht="15" hidden="false" customHeight="false" outlineLevel="0" collapsed="false">
      <c r="A4" s="7" t="s">
        <v>17</v>
      </c>
      <c r="B4" s="7" t="s">
        <v>18</v>
      </c>
      <c r="C4" s="7"/>
      <c r="D4" s="8" t="n">
        <v>7</v>
      </c>
      <c r="E4" s="8" t="n">
        <v>6</v>
      </c>
      <c r="F4" s="8" t="n">
        <v>5</v>
      </c>
      <c r="G4" s="10" t="n">
        <f aca="false">MIN(D4:F4)</f>
        <v>5</v>
      </c>
      <c r="H4" s="10" t="n">
        <f aca="false">MEDIAN(D4:F4)</f>
        <v>6</v>
      </c>
      <c r="I4" s="10" t="n">
        <f aca="false">MAX(D4:F4)</f>
        <v>7</v>
      </c>
    </row>
    <row r="5" customFormat="false" ht="15" hidden="false" customHeight="false" outlineLevel="0" collapsed="false">
      <c r="A5" s="7" t="s">
        <v>21</v>
      </c>
      <c r="B5" s="7" t="s">
        <v>22</v>
      </c>
      <c r="C5" s="7"/>
      <c r="D5" s="8" t="n">
        <v>10</v>
      </c>
      <c r="E5" s="8" t="n">
        <v>8</v>
      </c>
      <c r="F5" s="8" t="n">
        <v>9</v>
      </c>
      <c r="G5" s="10" t="n">
        <f aca="false">MIN(D5:F5)</f>
        <v>8</v>
      </c>
      <c r="H5" s="10" t="n">
        <f aca="false">MEDIAN(D5:F5)</f>
        <v>9</v>
      </c>
      <c r="I5" s="10" t="n">
        <f aca="false">MAX(D5:F5)</f>
        <v>10</v>
      </c>
    </row>
    <row r="6" customFormat="false" ht="15" hidden="false" customHeight="false" outlineLevel="0" collapsed="false">
      <c r="A6" s="7" t="s">
        <v>25</v>
      </c>
      <c r="B6" s="7" t="s">
        <v>26</v>
      </c>
      <c r="C6" s="7"/>
      <c r="D6" s="8" t="n">
        <v>8</v>
      </c>
      <c r="E6" s="8" t="n">
        <v>7</v>
      </c>
      <c r="F6" s="8" t="n">
        <v>6</v>
      </c>
      <c r="G6" s="10" t="n">
        <f aca="false">MIN(D6:F6)</f>
        <v>6</v>
      </c>
      <c r="H6" s="10" t="n">
        <f aca="false">MEDIAN(D6:F6)</f>
        <v>7</v>
      </c>
      <c r="I6" s="10" t="n">
        <f aca="false">MAX(D6:F6)</f>
        <v>8</v>
      </c>
    </row>
    <row r="7" customFormat="false" ht="15" hidden="false" customHeight="false" outlineLevel="0" collapsed="false">
      <c r="A7" s="7" t="s">
        <v>28</v>
      </c>
      <c r="B7" s="7" t="s">
        <v>29</v>
      </c>
      <c r="C7" s="7"/>
      <c r="D7" s="8" t="n">
        <v>9</v>
      </c>
      <c r="E7" s="8" t="n">
        <v>7</v>
      </c>
      <c r="F7" s="8" t="n">
        <v>8</v>
      </c>
      <c r="G7" s="10" t="n">
        <f aca="false">MIN(D7:F7)</f>
        <v>7</v>
      </c>
      <c r="H7" s="10" t="n">
        <f aca="false">MEDIAN(D7:F7)</f>
        <v>8</v>
      </c>
      <c r="I7" s="10" t="n">
        <f aca="false">MAX(D7:F7)</f>
        <v>9</v>
      </c>
    </row>
    <row r="8" customFormat="false" ht="15" hidden="false" customHeight="false" outlineLevel="0" collapsed="false">
      <c r="A8" s="7" t="s">
        <v>31</v>
      </c>
      <c r="B8" s="7" t="s">
        <v>32</v>
      </c>
      <c r="C8" s="7"/>
      <c r="D8" s="8" t="n">
        <v>5</v>
      </c>
      <c r="E8" s="8" t="n">
        <v>4</v>
      </c>
      <c r="F8" s="8" t="n">
        <v>3</v>
      </c>
      <c r="G8" s="10" t="n">
        <f aca="false">MIN(D8:F8)</f>
        <v>3</v>
      </c>
      <c r="H8" s="10" t="n">
        <f aca="false">MEDIAN(D8:F8)</f>
        <v>4</v>
      </c>
      <c r="I8" s="10" t="n">
        <f aca="false">MAX(D8:F8)</f>
        <v>5</v>
      </c>
    </row>
    <row r="9" customFormat="false" ht="15" hidden="false" customHeight="false" outlineLevel="0" collapsed="false">
      <c r="A9" s="7" t="s">
        <v>34</v>
      </c>
      <c r="B9" s="7" t="s">
        <v>35</v>
      </c>
      <c r="C9" s="7"/>
      <c r="D9" s="8" t="n">
        <v>7</v>
      </c>
      <c r="E9" s="8" t="n">
        <v>4</v>
      </c>
      <c r="F9" s="8" t="n">
        <v>5</v>
      </c>
      <c r="G9" s="10" t="n">
        <f aca="false">MIN(D9:F9)</f>
        <v>4</v>
      </c>
      <c r="H9" s="10" t="n">
        <f aca="false">MEDIAN(D9:F9)</f>
        <v>5</v>
      </c>
      <c r="I9" s="10" t="n">
        <f aca="false">MAX(D9:F9)</f>
        <v>7</v>
      </c>
    </row>
    <row r="11" customFormat="false" ht="15" hidden="false" customHeight="false" outlineLevel="0" collapsed="false">
      <c r="A11" s="4" t="s">
        <v>59</v>
      </c>
    </row>
    <row r="12" customFormat="false" ht="15" hidden="false" customHeight="false" outlineLevel="0" collapsed="false">
      <c r="A12" s="6" t="s">
        <v>60</v>
      </c>
      <c r="B12" s="6" t="s">
        <v>61</v>
      </c>
      <c r="C12" s="6" t="s">
        <v>14</v>
      </c>
      <c r="D12" s="6" t="s">
        <v>53</v>
      </c>
      <c r="E12" s="6" t="s">
        <v>54</v>
      </c>
      <c r="F12" s="6" t="s">
        <v>55</v>
      </c>
      <c r="G12" s="6" t="s">
        <v>56</v>
      </c>
      <c r="H12" s="6" t="s">
        <v>57</v>
      </c>
      <c r="I12" s="6" t="s">
        <v>58</v>
      </c>
    </row>
    <row r="13" customFormat="false" ht="15" hidden="false" customHeight="false" outlineLevel="0" collapsed="false">
      <c r="A13" s="7" t="s">
        <v>39</v>
      </c>
      <c r="B13" s="7" t="s">
        <v>40</v>
      </c>
      <c r="C13" s="10" t="s">
        <v>62</v>
      </c>
      <c r="D13" s="8" t="n">
        <v>8</v>
      </c>
      <c r="E13" s="8" t="n">
        <v>6</v>
      </c>
      <c r="F13" s="8" t="n">
        <v>7</v>
      </c>
      <c r="G13" s="10" t="n">
        <f aca="false">MIN(D13:F13)</f>
        <v>6</v>
      </c>
      <c r="H13" s="10" t="n">
        <f aca="false">MEDIAN(D13:F13)</f>
        <v>7</v>
      </c>
      <c r="I13" s="10" t="n">
        <f aca="false">MAX(D13:F13)</f>
        <v>8</v>
      </c>
    </row>
    <row r="14" customFormat="false" ht="15" hidden="false" customHeight="false" outlineLevel="0" collapsed="false">
      <c r="A14" s="7" t="s">
        <v>41</v>
      </c>
      <c r="B14" s="7" t="s">
        <v>42</v>
      </c>
      <c r="C14" s="10" t="s">
        <v>62</v>
      </c>
      <c r="D14" s="8" t="n">
        <v>8</v>
      </c>
      <c r="E14" s="8" t="n">
        <v>6</v>
      </c>
      <c r="F14" s="8" t="n">
        <v>8</v>
      </c>
      <c r="G14" s="10" t="n">
        <f aca="false">MIN(D14:F14)</f>
        <v>6</v>
      </c>
      <c r="H14" s="10" t="n">
        <f aca="false">MEDIAN(D14:F14)</f>
        <v>8</v>
      </c>
      <c r="I14" s="10" t="n">
        <f aca="false">MAX(D14:F14)</f>
        <v>8</v>
      </c>
    </row>
    <row r="15" customFormat="false" ht="15" hidden="false" customHeight="false" outlineLevel="0" collapsed="false">
      <c r="A15" s="7" t="s">
        <v>43</v>
      </c>
      <c r="B15" s="7" t="s">
        <v>44</v>
      </c>
      <c r="C15" s="10" t="s">
        <v>62</v>
      </c>
      <c r="D15" s="8" t="n">
        <v>8</v>
      </c>
      <c r="E15" s="8" t="n">
        <v>6</v>
      </c>
      <c r="F15" s="8" t="n">
        <v>6</v>
      </c>
      <c r="G15" s="10" t="n">
        <f aca="false">MIN(D15:F15)</f>
        <v>6</v>
      </c>
      <c r="H15" s="10" t="n">
        <f aca="false">MEDIAN(D15:F15)</f>
        <v>6</v>
      </c>
      <c r="I15" s="10" t="n">
        <f aca="false">MAX(D15:F15)</f>
        <v>8</v>
      </c>
    </row>
    <row r="16" customFormat="false" ht="15" hidden="false" customHeight="false" outlineLevel="0" collapsed="false">
      <c r="A16" s="7" t="s">
        <v>45</v>
      </c>
      <c r="B16" s="7" t="s">
        <v>46</v>
      </c>
      <c r="C16" s="10" t="s">
        <v>62</v>
      </c>
      <c r="D16" s="8" t="n">
        <v>7</v>
      </c>
      <c r="E16" s="8" t="n">
        <v>4</v>
      </c>
      <c r="F16" s="8" t="n">
        <v>6</v>
      </c>
      <c r="G16" s="10" t="n">
        <f aca="false">MIN(D16:F16)</f>
        <v>4</v>
      </c>
      <c r="H16" s="10" t="n">
        <f aca="false">MEDIAN(D16:F16)</f>
        <v>6</v>
      </c>
      <c r="I16" s="10" t="n">
        <f aca="false">MAX(D16:F16)</f>
        <v>7</v>
      </c>
    </row>
    <row r="17" customFormat="false" ht="15" hidden="false" customHeight="false" outlineLevel="0" collapsed="false">
      <c r="A17" s="7" t="s">
        <v>47</v>
      </c>
      <c r="B17" s="7" t="s">
        <v>48</v>
      </c>
      <c r="C17" s="10" t="s">
        <v>62</v>
      </c>
      <c r="D17" s="8" t="n">
        <v>9</v>
      </c>
      <c r="E17" s="8" t="n">
        <v>6</v>
      </c>
      <c r="F17" s="8" t="n">
        <v>7</v>
      </c>
      <c r="G17" s="10" t="n">
        <f aca="false">MIN(D17:F17)</f>
        <v>6</v>
      </c>
      <c r="H17" s="10" t="n">
        <f aca="false">MEDIAN(D17:F17)</f>
        <v>7</v>
      </c>
      <c r="I17" s="10" t="n">
        <f aca="false">MAX(D17:F17)</f>
        <v>9</v>
      </c>
    </row>
    <row r="18" customFormat="false" ht="15" hidden="false" customHeight="false" outlineLevel="0" collapsed="false">
      <c r="A18" s="7" t="s">
        <v>39</v>
      </c>
      <c r="B18" s="7" t="s">
        <v>40</v>
      </c>
      <c r="C18" s="10" t="s">
        <v>63</v>
      </c>
      <c r="D18" s="8" t="n">
        <v>8</v>
      </c>
      <c r="E18" s="8" t="n">
        <v>9</v>
      </c>
      <c r="F18" s="8" t="n">
        <v>8</v>
      </c>
      <c r="G18" s="10" t="n">
        <f aca="false">MIN(D18:F18)</f>
        <v>8</v>
      </c>
      <c r="H18" s="10" t="n">
        <f aca="false">MEDIAN(D18:F18)</f>
        <v>8</v>
      </c>
      <c r="I18" s="10" t="n">
        <f aca="false">MAX(D18:F18)</f>
        <v>9</v>
      </c>
    </row>
    <row r="19" customFormat="false" ht="15" hidden="false" customHeight="false" outlineLevel="0" collapsed="false">
      <c r="A19" s="7" t="s">
        <v>41</v>
      </c>
      <c r="B19" s="7" t="s">
        <v>42</v>
      </c>
      <c r="C19" s="10" t="s">
        <v>63</v>
      </c>
      <c r="D19" s="8" t="n">
        <v>8</v>
      </c>
      <c r="E19" s="8" t="n">
        <v>10</v>
      </c>
      <c r="F19" s="8" t="n">
        <v>9</v>
      </c>
      <c r="G19" s="10" t="n">
        <f aca="false">MIN(D19:F19)</f>
        <v>8</v>
      </c>
      <c r="H19" s="10" t="n">
        <f aca="false">MEDIAN(D19:F19)</f>
        <v>9</v>
      </c>
      <c r="I19" s="10" t="n">
        <f aca="false">MAX(D19:F19)</f>
        <v>10</v>
      </c>
    </row>
    <row r="20" customFormat="false" ht="15" hidden="false" customHeight="false" outlineLevel="0" collapsed="false">
      <c r="A20" s="7" t="s">
        <v>43</v>
      </c>
      <c r="B20" s="7" t="s">
        <v>44</v>
      </c>
      <c r="C20" s="10" t="s">
        <v>63</v>
      </c>
      <c r="D20" s="8" t="n">
        <v>4</v>
      </c>
      <c r="E20" s="8" t="n">
        <v>6</v>
      </c>
      <c r="F20" s="8" t="n">
        <v>6</v>
      </c>
      <c r="G20" s="10" t="n">
        <f aca="false">MIN(D20:F20)</f>
        <v>4</v>
      </c>
      <c r="H20" s="10" t="n">
        <f aca="false">MEDIAN(D20:F20)</f>
        <v>6</v>
      </c>
      <c r="I20" s="10" t="n">
        <f aca="false">MAX(D20:F20)</f>
        <v>6</v>
      </c>
    </row>
    <row r="21" customFormat="false" ht="15" hidden="false" customHeight="false" outlineLevel="0" collapsed="false">
      <c r="A21" s="7" t="s">
        <v>45</v>
      </c>
      <c r="B21" s="7" t="s">
        <v>46</v>
      </c>
      <c r="C21" s="10" t="s">
        <v>63</v>
      </c>
      <c r="D21" s="8" t="n">
        <v>2</v>
      </c>
      <c r="E21" s="8" t="n">
        <v>4</v>
      </c>
      <c r="F21" s="8" t="n">
        <v>2</v>
      </c>
      <c r="G21" s="10" t="n">
        <f aca="false">MIN(D21:F21)</f>
        <v>2</v>
      </c>
      <c r="H21" s="10" t="n">
        <f aca="false">MEDIAN(D21:F21)</f>
        <v>2</v>
      </c>
      <c r="I21" s="10" t="n">
        <f aca="false">MAX(D21:F21)</f>
        <v>4</v>
      </c>
    </row>
    <row r="22" customFormat="false" ht="15" hidden="false" customHeight="false" outlineLevel="0" collapsed="false">
      <c r="A22" s="7" t="s">
        <v>47</v>
      </c>
      <c r="B22" s="7" t="s">
        <v>48</v>
      </c>
      <c r="C22" s="10" t="s">
        <v>63</v>
      </c>
      <c r="D22" s="8" t="n">
        <v>2</v>
      </c>
      <c r="E22" s="8" t="n">
        <v>5</v>
      </c>
      <c r="F22" s="8" t="n">
        <v>4</v>
      </c>
      <c r="G22" s="10" t="n">
        <f aca="false">MIN(D22:F22)</f>
        <v>2</v>
      </c>
      <c r="H22" s="10" t="n">
        <f aca="false">MEDIAN(D22:F22)</f>
        <v>4</v>
      </c>
      <c r="I22" s="10" t="n">
        <f aca="false">MAX(D22:F22)</f>
        <v>5</v>
      </c>
    </row>
    <row r="23" customFormat="false" ht="15" hidden="false" customHeight="false" outlineLevel="0" collapsed="false">
      <c r="A23" s="7" t="s">
        <v>39</v>
      </c>
      <c r="B23" s="7" t="s">
        <v>40</v>
      </c>
      <c r="C23" s="10" t="s">
        <v>64</v>
      </c>
      <c r="D23" s="8" t="n">
        <v>7</v>
      </c>
      <c r="E23" s="8" t="n">
        <v>7</v>
      </c>
      <c r="F23" s="8" t="n">
        <v>6</v>
      </c>
      <c r="G23" s="10" t="n">
        <f aca="false">MIN(D23:F23)</f>
        <v>6</v>
      </c>
      <c r="H23" s="10" t="n">
        <f aca="false">MEDIAN(D23:F23)</f>
        <v>7</v>
      </c>
      <c r="I23" s="10" t="n">
        <f aca="false">MAX(D23:F23)</f>
        <v>7</v>
      </c>
    </row>
    <row r="24" customFormat="false" ht="15" hidden="false" customHeight="false" outlineLevel="0" collapsed="false">
      <c r="A24" s="7" t="s">
        <v>41</v>
      </c>
      <c r="B24" s="7" t="s">
        <v>42</v>
      </c>
      <c r="C24" s="10" t="s">
        <v>64</v>
      </c>
      <c r="D24" s="8" t="n">
        <v>10</v>
      </c>
      <c r="E24" s="8" t="n">
        <v>10</v>
      </c>
      <c r="F24" s="8" t="n">
        <v>10</v>
      </c>
      <c r="G24" s="10" t="n">
        <f aca="false">MIN(D24:F24)</f>
        <v>10</v>
      </c>
      <c r="H24" s="10" t="n">
        <f aca="false">MEDIAN(D24:F24)</f>
        <v>10</v>
      </c>
      <c r="I24" s="10" t="n">
        <f aca="false">MAX(D24:F24)</f>
        <v>10</v>
      </c>
    </row>
    <row r="25" customFormat="false" ht="15" hidden="false" customHeight="false" outlineLevel="0" collapsed="false">
      <c r="A25" s="7" t="s">
        <v>43</v>
      </c>
      <c r="B25" s="7" t="s">
        <v>44</v>
      </c>
      <c r="C25" s="10" t="s">
        <v>64</v>
      </c>
      <c r="D25" s="8" t="n">
        <v>5</v>
      </c>
      <c r="E25" s="8" t="n">
        <v>6</v>
      </c>
      <c r="F25" s="8" t="n">
        <v>4</v>
      </c>
      <c r="G25" s="10" t="n">
        <f aca="false">MIN(D25:F25)</f>
        <v>4</v>
      </c>
      <c r="H25" s="10" t="n">
        <f aca="false">MEDIAN(D25:F25)</f>
        <v>5</v>
      </c>
      <c r="I25" s="10" t="n">
        <f aca="false">MAX(D25:F25)</f>
        <v>6</v>
      </c>
    </row>
    <row r="26" customFormat="false" ht="15" hidden="false" customHeight="false" outlineLevel="0" collapsed="false">
      <c r="A26" s="7" t="s">
        <v>45</v>
      </c>
      <c r="B26" s="7" t="s">
        <v>46</v>
      </c>
      <c r="C26" s="10" t="s">
        <v>64</v>
      </c>
      <c r="D26" s="8" t="n">
        <v>3</v>
      </c>
      <c r="E26" s="8" t="n">
        <v>3</v>
      </c>
      <c r="F26" s="8" t="n">
        <v>1</v>
      </c>
      <c r="G26" s="10" t="n">
        <f aca="false">MIN(D26:F26)</f>
        <v>1</v>
      </c>
      <c r="H26" s="10" t="n">
        <f aca="false">MEDIAN(D26:F26)</f>
        <v>3</v>
      </c>
      <c r="I26" s="10" t="n">
        <f aca="false">MAX(D26:F26)</f>
        <v>3</v>
      </c>
    </row>
    <row r="27" customFormat="false" ht="15" hidden="false" customHeight="false" outlineLevel="0" collapsed="false">
      <c r="A27" s="7" t="s">
        <v>47</v>
      </c>
      <c r="B27" s="7" t="s">
        <v>48</v>
      </c>
      <c r="C27" s="10" t="s">
        <v>64</v>
      </c>
      <c r="D27" s="8" t="n">
        <v>3</v>
      </c>
      <c r="E27" s="8" t="n">
        <v>5</v>
      </c>
      <c r="F27" s="8" t="n">
        <v>3</v>
      </c>
      <c r="G27" s="10" t="n">
        <f aca="false">MIN(D27:F27)</f>
        <v>3</v>
      </c>
      <c r="H27" s="10" t="n">
        <f aca="false">MEDIAN(D27:F27)</f>
        <v>3</v>
      </c>
      <c r="I27" s="10" t="n">
        <f aca="false">MAX(D27:F27)</f>
        <v>5</v>
      </c>
    </row>
    <row r="28" customFormat="false" ht="15" hidden="false" customHeight="false" outlineLevel="0" collapsed="false">
      <c r="A28" s="7" t="s">
        <v>39</v>
      </c>
      <c r="B28" s="7" t="s">
        <v>40</v>
      </c>
      <c r="C28" s="10" t="s">
        <v>65</v>
      </c>
      <c r="D28" s="8" t="n">
        <v>7</v>
      </c>
      <c r="E28" s="8" t="n">
        <v>5</v>
      </c>
      <c r="F28" s="8" t="n">
        <v>4</v>
      </c>
      <c r="G28" s="10" t="n">
        <f aca="false">MIN(D28:F28)</f>
        <v>4</v>
      </c>
      <c r="H28" s="10" t="n">
        <f aca="false">MEDIAN(D28:F28)</f>
        <v>5</v>
      </c>
      <c r="I28" s="10" t="n">
        <f aca="false">MAX(D28:F28)</f>
        <v>7</v>
      </c>
    </row>
    <row r="29" customFormat="false" ht="15" hidden="false" customHeight="false" outlineLevel="0" collapsed="false">
      <c r="A29" s="7" t="s">
        <v>41</v>
      </c>
      <c r="B29" s="7" t="s">
        <v>42</v>
      </c>
      <c r="C29" s="10" t="s">
        <v>65</v>
      </c>
      <c r="D29" s="8" t="n">
        <v>6</v>
      </c>
      <c r="E29" s="8" t="n">
        <v>6</v>
      </c>
      <c r="F29" s="8" t="n">
        <v>5</v>
      </c>
      <c r="G29" s="10" t="n">
        <f aca="false">MIN(D29:F29)</f>
        <v>5</v>
      </c>
      <c r="H29" s="10" t="n">
        <f aca="false">MEDIAN(D29:F29)</f>
        <v>6</v>
      </c>
      <c r="I29" s="10" t="n">
        <f aca="false">MAX(D29:F29)</f>
        <v>6</v>
      </c>
    </row>
    <row r="30" customFormat="false" ht="15" hidden="false" customHeight="false" outlineLevel="0" collapsed="false">
      <c r="A30" s="7" t="s">
        <v>43</v>
      </c>
      <c r="B30" s="7" t="s">
        <v>44</v>
      </c>
      <c r="C30" s="10" t="s">
        <v>65</v>
      </c>
      <c r="D30" s="8" t="n">
        <v>10</v>
      </c>
      <c r="E30" s="8" t="n">
        <v>9</v>
      </c>
      <c r="F30" s="8" t="n">
        <v>9</v>
      </c>
      <c r="G30" s="10" t="n">
        <f aca="false">MIN(D30:F30)</f>
        <v>9</v>
      </c>
      <c r="H30" s="10" t="n">
        <f aca="false">MEDIAN(D30:F30)</f>
        <v>9</v>
      </c>
      <c r="I30" s="10" t="n">
        <f aca="false">MAX(D30:F30)</f>
        <v>10</v>
      </c>
    </row>
    <row r="31" customFormat="false" ht="15" hidden="false" customHeight="false" outlineLevel="0" collapsed="false">
      <c r="A31" s="7" t="s">
        <v>45</v>
      </c>
      <c r="B31" s="7" t="s">
        <v>46</v>
      </c>
      <c r="C31" s="10" t="s">
        <v>65</v>
      </c>
      <c r="D31" s="8" t="n">
        <v>8</v>
      </c>
      <c r="E31" s="8" t="n">
        <v>7</v>
      </c>
      <c r="F31" s="8" t="n">
        <v>6</v>
      </c>
      <c r="G31" s="10" t="n">
        <f aca="false">MIN(D31:F31)</f>
        <v>6</v>
      </c>
      <c r="H31" s="10" t="n">
        <f aca="false">MEDIAN(D31:F31)</f>
        <v>7</v>
      </c>
      <c r="I31" s="10" t="n">
        <f aca="false">MAX(D31:F31)</f>
        <v>8</v>
      </c>
    </row>
    <row r="32" customFormat="false" ht="15" hidden="false" customHeight="false" outlineLevel="0" collapsed="false">
      <c r="A32" s="7" t="s">
        <v>47</v>
      </c>
      <c r="B32" s="7" t="s">
        <v>48</v>
      </c>
      <c r="C32" s="10" t="s">
        <v>65</v>
      </c>
      <c r="D32" s="8" t="n">
        <v>8</v>
      </c>
      <c r="E32" s="8" t="n">
        <v>8</v>
      </c>
      <c r="F32" s="8" t="n">
        <v>6</v>
      </c>
      <c r="G32" s="10" t="n">
        <f aca="false">MIN(D32:F32)</f>
        <v>6</v>
      </c>
      <c r="H32" s="10" t="n">
        <f aca="false">MEDIAN(D32:F32)</f>
        <v>8</v>
      </c>
      <c r="I32" s="10" t="n">
        <f aca="false">MAX(D32:F32)</f>
        <v>8</v>
      </c>
    </row>
    <row r="33" customFormat="false" ht="15" hidden="false" customHeight="false" outlineLevel="0" collapsed="false">
      <c r="A33" s="7" t="s">
        <v>39</v>
      </c>
      <c r="B33" s="7" t="s">
        <v>40</v>
      </c>
      <c r="C33" s="10" t="s">
        <v>66</v>
      </c>
      <c r="D33" s="8" t="n">
        <v>7</v>
      </c>
      <c r="E33" s="8" t="n">
        <v>5</v>
      </c>
      <c r="F33" s="8" t="n">
        <v>8</v>
      </c>
      <c r="G33" s="10" t="n">
        <f aca="false">MIN(D33:F33)</f>
        <v>5</v>
      </c>
      <c r="H33" s="10" t="n">
        <f aca="false">MEDIAN(D33:F33)</f>
        <v>7</v>
      </c>
      <c r="I33" s="10" t="n">
        <f aca="false">MAX(D33:F33)</f>
        <v>8</v>
      </c>
    </row>
    <row r="34" customFormat="false" ht="15" hidden="false" customHeight="false" outlineLevel="0" collapsed="false">
      <c r="A34" s="7" t="s">
        <v>41</v>
      </c>
      <c r="B34" s="7" t="s">
        <v>42</v>
      </c>
      <c r="C34" s="10" t="s">
        <v>66</v>
      </c>
      <c r="D34" s="8" t="n">
        <v>6</v>
      </c>
      <c r="E34" s="8" t="n">
        <v>5</v>
      </c>
      <c r="F34" s="8" t="n">
        <v>8</v>
      </c>
      <c r="G34" s="10" t="n">
        <f aca="false">MIN(D34:F34)</f>
        <v>5</v>
      </c>
      <c r="H34" s="10" t="n">
        <f aca="false">MEDIAN(D34:F34)</f>
        <v>6</v>
      </c>
      <c r="I34" s="10" t="n">
        <f aca="false">MAX(D34:F34)</f>
        <v>8</v>
      </c>
    </row>
    <row r="35" customFormat="false" ht="15" hidden="false" customHeight="false" outlineLevel="0" collapsed="false">
      <c r="A35" s="7" t="s">
        <v>43</v>
      </c>
      <c r="B35" s="7" t="s">
        <v>44</v>
      </c>
      <c r="C35" s="10" t="s">
        <v>66</v>
      </c>
      <c r="D35" s="8" t="n">
        <v>4</v>
      </c>
      <c r="E35" s="8" t="n">
        <v>3</v>
      </c>
      <c r="F35" s="8" t="n">
        <v>4</v>
      </c>
      <c r="G35" s="10" t="n">
        <f aca="false">MIN(D35:F35)</f>
        <v>3</v>
      </c>
      <c r="H35" s="10" t="n">
        <f aca="false">MEDIAN(D35:F35)</f>
        <v>4</v>
      </c>
      <c r="I35" s="10" t="n">
        <f aca="false">MAX(D35:F35)</f>
        <v>4</v>
      </c>
    </row>
    <row r="36" customFormat="false" ht="15" hidden="false" customHeight="false" outlineLevel="0" collapsed="false">
      <c r="A36" s="7" t="s">
        <v>45</v>
      </c>
      <c r="B36" s="7" t="s">
        <v>46</v>
      </c>
      <c r="C36" s="10" t="s">
        <v>66</v>
      </c>
      <c r="D36" s="8" t="n">
        <v>6</v>
      </c>
      <c r="E36" s="8" t="n">
        <v>6</v>
      </c>
      <c r="F36" s="8" t="n">
        <v>7</v>
      </c>
      <c r="G36" s="10" t="n">
        <f aca="false">MIN(D36:F36)</f>
        <v>6</v>
      </c>
      <c r="H36" s="10" t="n">
        <f aca="false">MEDIAN(D36:F36)</f>
        <v>6</v>
      </c>
      <c r="I36" s="10" t="n">
        <f aca="false">MAX(D36:F36)</f>
        <v>7</v>
      </c>
    </row>
    <row r="37" customFormat="false" ht="15" hidden="false" customHeight="false" outlineLevel="0" collapsed="false">
      <c r="A37" s="7" t="s">
        <v>47</v>
      </c>
      <c r="B37" s="7" t="s">
        <v>48</v>
      </c>
      <c r="C37" s="10" t="s">
        <v>66</v>
      </c>
      <c r="D37" s="8" t="n">
        <v>3</v>
      </c>
      <c r="E37" s="8" t="n">
        <v>2</v>
      </c>
      <c r="F37" s="8" t="n">
        <v>4</v>
      </c>
      <c r="G37" s="10" t="n">
        <f aca="false">MIN(D37:F37)</f>
        <v>2</v>
      </c>
      <c r="H37" s="10" t="n">
        <f aca="false">MEDIAN(D37:F37)</f>
        <v>3</v>
      </c>
      <c r="I37" s="10" t="n">
        <f aca="false">MAX(D37:F37)</f>
        <v>4</v>
      </c>
    </row>
    <row r="38" customFormat="false" ht="15" hidden="false" customHeight="false" outlineLevel="0" collapsed="false">
      <c r="A38" s="7" t="s">
        <v>39</v>
      </c>
      <c r="B38" s="7" t="s">
        <v>40</v>
      </c>
      <c r="C38" s="10" t="s">
        <v>67</v>
      </c>
      <c r="D38" s="8" t="n">
        <v>7</v>
      </c>
      <c r="E38" s="8" t="n">
        <v>7</v>
      </c>
      <c r="F38" s="8" t="n">
        <v>9</v>
      </c>
      <c r="G38" s="10" t="n">
        <f aca="false">MIN(D38:F38)</f>
        <v>7</v>
      </c>
      <c r="H38" s="10" t="n">
        <f aca="false">MEDIAN(D38:F38)</f>
        <v>7</v>
      </c>
      <c r="I38" s="10" t="n">
        <f aca="false">MAX(D38:F38)</f>
        <v>9</v>
      </c>
    </row>
    <row r="39" customFormat="false" ht="15" hidden="false" customHeight="false" outlineLevel="0" collapsed="false">
      <c r="A39" s="7" t="s">
        <v>41</v>
      </c>
      <c r="B39" s="7" t="s">
        <v>42</v>
      </c>
      <c r="C39" s="10" t="s">
        <v>67</v>
      </c>
      <c r="D39" s="8" t="n">
        <v>6</v>
      </c>
      <c r="E39" s="8" t="n">
        <v>8</v>
      </c>
      <c r="F39" s="8" t="n">
        <v>9</v>
      </c>
      <c r="G39" s="10" t="n">
        <f aca="false">MIN(D39:F39)</f>
        <v>6</v>
      </c>
      <c r="H39" s="10" t="n">
        <f aca="false">MEDIAN(D39:F39)</f>
        <v>8</v>
      </c>
      <c r="I39" s="10" t="n">
        <f aca="false">MAX(D39:F39)</f>
        <v>9</v>
      </c>
    </row>
    <row r="40" customFormat="false" ht="15" hidden="false" customHeight="false" outlineLevel="0" collapsed="false">
      <c r="A40" s="7" t="s">
        <v>43</v>
      </c>
      <c r="B40" s="7" t="s">
        <v>44</v>
      </c>
      <c r="C40" s="10" t="s">
        <v>67</v>
      </c>
      <c r="D40" s="8" t="n">
        <v>3</v>
      </c>
      <c r="E40" s="8" t="n">
        <v>4</v>
      </c>
      <c r="F40" s="8" t="n">
        <v>6</v>
      </c>
      <c r="G40" s="10" t="n">
        <f aca="false">MIN(D40:F40)</f>
        <v>3</v>
      </c>
      <c r="H40" s="10" t="n">
        <f aca="false">MEDIAN(D40:F40)</f>
        <v>4</v>
      </c>
      <c r="I40" s="10" t="n">
        <f aca="false">MAX(D40:F40)</f>
        <v>6</v>
      </c>
    </row>
    <row r="41" customFormat="false" ht="15" hidden="false" customHeight="false" outlineLevel="0" collapsed="false">
      <c r="A41" s="7" t="s">
        <v>45</v>
      </c>
      <c r="B41" s="7" t="s">
        <v>46</v>
      </c>
      <c r="C41" s="10" t="s">
        <v>67</v>
      </c>
      <c r="D41" s="8" t="n">
        <v>2</v>
      </c>
      <c r="E41" s="8" t="n">
        <v>3</v>
      </c>
      <c r="F41" s="8" t="n">
        <v>3</v>
      </c>
      <c r="G41" s="10" t="n">
        <f aca="false">MIN(D41:F41)</f>
        <v>2</v>
      </c>
      <c r="H41" s="10" t="n">
        <f aca="false">MEDIAN(D41:F41)</f>
        <v>3</v>
      </c>
      <c r="I41" s="10" t="n">
        <f aca="false">MAX(D41:F41)</f>
        <v>3</v>
      </c>
    </row>
    <row r="42" customFormat="false" ht="15" hidden="false" customHeight="false" outlineLevel="0" collapsed="false">
      <c r="A42" s="7" t="s">
        <v>47</v>
      </c>
      <c r="B42" s="7" t="s">
        <v>48</v>
      </c>
      <c r="C42" s="10" t="s">
        <v>67</v>
      </c>
      <c r="D42" s="8" t="n">
        <v>5</v>
      </c>
      <c r="E42" s="8" t="n">
        <v>5</v>
      </c>
      <c r="F42" s="8" t="n">
        <v>6</v>
      </c>
      <c r="G42" s="10" t="n">
        <f aca="false">MIN(D42:F42)</f>
        <v>5</v>
      </c>
      <c r="H42" s="10" t="n">
        <f aca="false">MEDIAN(D42:F42)</f>
        <v>5</v>
      </c>
      <c r="I42" s="10" t="n">
        <f aca="false">MAX(D42:F42)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9" activeCellId="0" sqref="G2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6"/>
    <col collapsed="false" customWidth="true" hidden="false" outlineLevel="0" max="20" min="3" style="1" width="8"/>
  </cols>
  <sheetData>
    <row r="1" customFormat="false" ht="17.35" hidden="false" customHeight="false" outlineLevel="0" collapsed="false">
      <c r="A1" s="2" t="s">
        <v>70</v>
      </c>
    </row>
    <row r="3" customFormat="false" ht="15" hidden="false" customHeight="false" outlineLevel="0" collapsed="false">
      <c r="A3" s="4" t="s">
        <v>71</v>
      </c>
    </row>
    <row r="4" customFormat="false" ht="15" hidden="false" customHeight="false" outlineLevel="0" collapsed="false">
      <c r="A4" s="6" t="s">
        <v>13</v>
      </c>
      <c r="B4" s="6" t="s">
        <v>14</v>
      </c>
      <c r="C4" s="6" t="s">
        <v>72</v>
      </c>
      <c r="D4" s="6" t="s">
        <v>73</v>
      </c>
      <c r="E4" s="6" t="s">
        <v>74</v>
      </c>
    </row>
    <row r="5" customFormat="false" ht="15" hidden="false" customHeight="false" outlineLevel="0" collapsed="false">
      <c r="A5" s="7" t="s">
        <v>17</v>
      </c>
      <c r="B5" s="7" t="s">
        <v>18</v>
      </c>
      <c r="C5" s="11" t="n">
        <f aca="false">MIN(Пашинский!G4,Колесникова!G4,Степаненко!G4)</f>
        <v>5</v>
      </c>
      <c r="D5" s="11" t="n">
        <f aca="false">AVERAGE(Пашинский!H4,Колесникова!H4,Степаненко!H4)</f>
        <v>7</v>
      </c>
      <c r="E5" s="11" t="n">
        <f aca="false">MAX(Пашинский!I4,Колесникова!I4,Степаненко!I4)</f>
        <v>9</v>
      </c>
    </row>
    <row r="6" customFormat="false" ht="15" hidden="false" customHeight="false" outlineLevel="0" collapsed="false">
      <c r="A6" s="7" t="s">
        <v>21</v>
      </c>
      <c r="B6" s="7" t="s">
        <v>22</v>
      </c>
      <c r="C6" s="11" t="n">
        <f aca="false">MIN(Пашинский!G5,Колесникова!G5,Степаненко!G5)</f>
        <v>4</v>
      </c>
      <c r="D6" s="11" t="n">
        <f aca="false">AVERAGE(Пашинский!H5,Колесникова!H5,Степаненко!H5)</f>
        <v>6.66666666666667</v>
      </c>
      <c r="E6" s="11" t="n">
        <f aca="false">MAX(Пашинский!I5,Колесникова!I5,Степаненко!I5)</f>
        <v>10</v>
      </c>
    </row>
    <row r="7" customFormat="false" ht="15" hidden="false" customHeight="false" outlineLevel="0" collapsed="false">
      <c r="A7" s="7" t="s">
        <v>25</v>
      </c>
      <c r="B7" s="7" t="s">
        <v>26</v>
      </c>
      <c r="C7" s="11" t="n">
        <f aca="false">MIN(Пашинский!G6,Колесникова!G6,Степаненко!G6)</f>
        <v>3</v>
      </c>
      <c r="D7" s="11" t="n">
        <f aca="false">AVERAGE(Пашинский!H6,Колесникова!H6,Степаненко!H6)</f>
        <v>6.33333333333333</v>
      </c>
      <c r="E7" s="11" t="n">
        <f aca="false">MAX(Пашинский!I6,Колесникова!I6,Степаненко!I6)</f>
        <v>9</v>
      </c>
    </row>
    <row r="8" customFormat="false" ht="15" hidden="false" customHeight="false" outlineLevel="0" collapsed="false">
      <c r="A8" s="7" t="s">
        <v>28</v>
      </c>
      <c r="B8" s="7" t="s">
        <v>29</v>
      </c>
      <c r="C8" s="11" t="n">
        <f aca="false">MIN(Пашинский!G7,Колесникова!G7,Степаненко!G7)</f>
        <v>4</v>
      </c>
      <c r="D8" s="11" t="n">
        <f aca="false">AVERAGE(Пашинский!H7,Колесникова!H7,Степаненко!H7)</f>
        <v>6.33333333333333</v>
      </c>
      <c r="E8" s="11" t="n">
        <f aca="false">MAX(Пашинский!I7,Колесникова!I7,Степаненко!I7)</f>
        <v>9</v>
      </c>
    </row>
    <row r="9" customFormat="false" ht="15" hidden="false" customHeight="false" outlineLevel="0" collapsed="false">
      <c r="A9" s="7" t="s">
        <v>31</v>
      </c>
      <c r="B9" s="7" t="s">
        <v>32</v>
      </c>
      <c r="C9" s="11" t="n">
        <f aca="false">MIN(Пашинский!G8,Колесникова!G8,Степаненко!G8)</f>
        <v>3</v>
      </c>
      <c r="D9" s="11" t="n">
        <f aca="false">AVERAGE(Пашинский!H8,Колесникова!H8,Степаненко!H8)</f>
        <v>6.66666666666667</v>
      </c>
      <c r="E9" s="11" t="n">
        <f aca="false">MAX(Пашинский!I8,Колесникова!I8,Степаненко!I8)</f>
        <v>10</v>
      </c>
    </row>
    <row r="10" customFormat="false" ht="15" hidden="false" customHeight="false" outlineLevel="0" collapsed="false">
      <c r="A10" s="7" t="s">
        <v>34</v>
      </c>
      <c r="B10" s="7" t="s">
        <v>35</v>
      </c>
      <c r="C10" s="11" t="n">
        <f aca="false">MIN(Пашинский!G9,Колесникова!G9,Степаненко!G9)</f>
        <v>2</v>
      </c>
      <c r="D10" s="11" t="n">
        <f aca="false">AVERAGE(Пашинский!H9,Колесникова!H9,Степаненко!H9)</f>
        <v>4</v>
      </c>
      <c r="E10" s="11" t="n">
        <f aca="false">MAX(Пашинский!I9,Колесникова!I9,Степаненко!I9)</f>
        <v>7</v>
      </c>
    </row>
    <row r="12" customFormat="false" ht="15" hidden="false" customHeight="false" outlineLevel="0" collapsed="false">
      <c r="A12" s="4" t="s">
        <v>75</v>
      </c>
    </row>
    <row r="13" customFormat="false" ht="15" hidden="false" customHeight="true" outlineLevel="0" collapsed="false">
      <c r="A13" s="6" t="s">
        <v>13</v>
      </c>
      <c r="B13" s="6" t="s">
        <v>76</v>
      </c>
      <c r="C13" s="6" t="s">
        <v>62</v>
      </c>
      <c r="D13" s="6"/>
      <c r="E13" s="6"/>
      <c r="F13" s="6" t="s">
        <v>63</v>
      </c>
      <c r="G13" s="6"/>
      <c r="H13" s="6"/>
      <c r="I13" s="6" t="s">
        <v>64</v>
      </c>
      <c r="J13" s="6"/>
      <c r="K13" s="6"/>
      <c r="L13" s="6" t="s">
        <v>65</v>
      </c>
      <c r="M13" s="6"/>
      <c r="N13" s="6"/>
      <c r="O13" s="6" t="s">
        <v>66</v>
      </c>
      <c r="P13" s="6"/>
      <c r="Q13" s="6"/>
      <c r="R13" s="6" t="s">
        <v>67</v>
      </c>
      <c r="S13" s="6"/>
      <c r="T13" s="6"/>
    </row>
    <row r="14" customFormat="false" ht="15" hidden="false" customHeight="false" outlineLevel="0" collapsed="false">
      <c r="A14" s="6"/>
      <c r="B14" s="6"/>
      <c r="C14" s="6" t="s">
        <v>72</v>
      </c>
      <c r="D14" s="6" t="s">
        <v>73</v>
      </c>
      <c r="E14" s="6" t="s">
        <v>74</v>
      </c>
      <c r="F14" s="6" t="s">
        <v>72</v>
      </c>
      <c r="G14" s="6" t="s">
        <v>73</v>
      </c>
      <c r="H14" s="6" t="s">
        <v>74</v>
      </c>
      <c r="I14" s="6" t="s">
        <v>72</v>
      </c>
      <c r="J14" s="6" t="s">
        <v>73</v>
      </c>
      <c r="K14" s="6" t="s">
        <v>74</v>
      </c>
      <c r="L14" s="6" t="s">
        <v>72</v>
      </c>
      <c r="M14" s="6" t="s">
        <v>73</v>
      </c>
      <c r="N14" s="6" t="s">
        <v>74</v>
      </c>
      <c r="O14" s="6" t="s">
        <v>72</v>
      </c>
      <c r="P14" s="6" t="s">
        <v>73</v>
      </c>
      <c r="Q14" s="6" t="s">
        <v>74</v>
      </c>
      <c r="R14" s="6" t="s">
        <v>72</v>
      </c>
      <c r="S14" s="6" t="s">
        <v>73</v>
      </c>
      <c r="T14" s="6" t="s">
        <v>74</v>
      </c>
    </row>
    <row r="15" customFormat="false" ht="15" hidden="false" customHeight="false" outlineLevel="0" collapsed="false">
      <c r="A15" s="7" t="s">
        <v>39</v>
      </c>
      <c r="B15" s="7" t="s">
        <v>40</v>
      </c>
      <c r="C15" s="11" t="n">
        <f aca="false">MIN(Пашинский!G13,Колесникова!G13,Степаненко!G13)</f>
        <v>6</v>
      </c>
      <c r="D15" s="11" t="n">
        <f aca="false">AVERAGE(Пашинский!H13,Колесникова!H13,Степаненко!H13)</f>
        <v>8</v>
      </c>
      <c r="E15" s="11" t="n">
        <f aca="false">MAX(Пашинский!I13,Колесникова!I13,Степаненко!I13)</f>
        <v>10</v>
      </c>
      <c r="F15" s="11" t="n">
        <f aca="false">MIN(Пашинский!G18,Колесникова!G18,Степаненко!G18)</f>
        <v>6</v>
      </c>
      <c r="G15" s="11" t="n">
        <f aca="false">AVERAGE(Пашинский!H18,Колесникова!H18,Степаненко!H18)</f>
        <v>6.66666666666667</v>
      </c>
      <c r="H15" s="11" t="n">
        <f aca="false">MAX(Пашинский!I18,Колесникова!I18,Степаненко!I18)</f>
        <v>9</v>
      </c>
      <c r="I15" s="11" t="n">
        <f aca="false">MIN(Пашинский!G23,Колесникова!G23,Степаненко!G23)</f>
        <v>4</v>
      </c>
      <c r="J15" s="11" t="n">
        <f aca="false">AVERAGE(Пашинский!H23,Колесникова!H23,Степаненко!H23)</f>
        <v>5.66666666666667</v>
      </c>
      <c r="K15" s="11" t="n">
        <f aca="false">MAX(Пашинский!I23,Колесникова!I23,Степаненко!I23)</f>
        <v>7</v>
      </c>
      <c r="L15" s="11" t="n">
        <f aca="false">MIN(Пашинский!G28,Колесникова!G28,Степаненко!G28)</f>
        <v>4</v>
      </c>
      <c r="M15" s="11" t="n">
        <f aca="false">AVERAGE(Пашинский!H28,Колесникова!H28,Степаненко!H28)</f>
        <v>6</v>
      </c>
      <c r="N15" s="11" t="n">
        <f aca="false">MAX(Пашинский!I28,Колесникова!I28,Степаненко!I28)</f>
        <v>9</v>
      </c>
      <c r="O15" s="11" t="n">
        <f aca="false">MIN(Пашинский!G33,Колесникова!G33,Степаненко!G33)</f>
        <v>5</v>
      </c>
      <c r="P15" s="11" t="n">
        <f aca="false">AVERAGE(Пашинский!H33,Колесникова!H33,Степаненко!H33)</f>
        <v>8.33333333333333</v>
      </c>
      <c r="Q15" s="11" t="n">
        <f aca="false">MAX(Пашинский!I33,Колесникова!I33,Степаненко!I33)</f>
        <v>10</v>
      </c>
      <c r="R15" s="11" t="n">
        <f aca="false">MIN(Пашинский!G38,Колесникова!G38,Степаненко!G38)</f>
        <v>5</v>
      </c>
      <c r="S15" s="11" t="n">
        <f aca="false">AVERAGE(Пашинский!H38,Колесникова!H38,Степаненко!H38)</f>
        <v>6</v>
      </c>
      <c r="T15" s="11" t="n">
        <f aca="false">MAX(Пашинский!I38,Колесникова!I38,Степаненко!I38)</f>
        <v>9</v>
      </c>
    </row>
    <row r="16" customFormat="false" ht="15" hidden="false" customHeight="false" outlineLevel="0" collapsed="false">
      <c r="A16" s="7" t="s">
        <v>41</v>
      </c>
      <c r="B16" s="7" t="s">
        <v>42</v>
      </c>
      <c r="C16" s="11" t="n">
        <f aca="false">MIN(Пашинский!G14,Колесникова!G14,Степаненко!G14)</f>
        <v>4</v>
      </c>
      <c r="D16" s="11" t="n">
        <f aca="false">AVERAGE(Пашинский!H14,Колесникова!H14,Степаненко!H14)</f>
        <v>7.66666666666667</v>
      </c>
      <c r="E16" s="11" t="n">
        <f aca="false">MAX(Пашинский!I14,Колесникова!I14,Степаненко!I14)</f>
        <v>9</v>
      </c>
      <c r="F16" s="11" t="n">
        <f aca="false">MIN(Пашинский!G19,Колесникова!G19,Степаненко!G19)</f>
        <v>7</v>
      </c>
      <c r="G16" s="11" t="n">
        <f aca="false">AVERAGE(Пашинский!H19,Колесникова!H19,Степаненко!H19)</f>
        <v>8.66666666666667</v>
      </c>
      <c r="H16" s="11" t="n">
        <f aca="false">MAX(Пашинский!I19,Колесникова!I19,Степаненко!I19)</f>
        <v>10</v>
      </c>
      <c r="I16" s="11" t="n">
        <f aca="false">MIN(Пашинский!G24,Колесникова!G24,Степаненко!G24)</f>
        <v>8</v>
      </c>
      <c r="J16" s="11" t="n">
        <f aca="false">AVERAGE(Пашинский!H24,Колесникова!H24,Степаненко!H24)</f>
        <v>9</v>
      </c>
      <c r="K16" s="11" t="n">
        <f aca="false">MAX(Пашинский!I24,Колесникова!I24,Степаненко!I24)</f>
        <v>10</v>
      </c>
      <c r="L16" s="11" t="n">
        <f aca="false">MIN(Пашинский!G29,Колесникова!G29,Степаненко!G29)</f>
        <v>4</v>
      </c>
      <c r="M16" s="11" t="n">
        <f aca="false">AVERAGE(Пашинский!H29,Колесникова!H29,Степаненко!H29)</f>
        <v>5.66666666666667</v>
      </c>
      <c r="N16" s="11" t="n">
        <f aca="false">MAX(Пашинский!I29,Колесникова!I29,Степаненко!I29)</f>
        <v>6</v>
      </c>
      <c r="O16" s="11" t="n">
        <f aca="false">MIN(Пашинский!G34,Колесникова!G34,Степаненко!G34)</f>
        <v>4</v>
      </c>
      <c r="P16" s="11" t="n">
        <f aca="false">AVERAGE(Пашинский!H34,Колесникова!H34,Степаненко!H34)</f>
        <v>6.33333333333333</v>
      </c>
      <c r="Q16" s="11" t="n">
        <f aca="false">MAX(Пашинский!I34,Колесникова!I34,Степаненко!I34)</f>
        <v>10</v>
      </c>
      <c r="R16" s="11" t="n">
        <f aca="false">MIN(Пашинский!G39,Колесникова!G39,Степаненко!G39)</f>
        <v>5</v>
      </c>
      <c r="S16" s="11" t="n">
        <f aca="false">AVERAGE(Пашинский!H39,Колесникова!H39,Степаненко!H39)</f>
        <v>7.33333333333333</v>
      </c>
      <c r="T16" s="11" t="n">
        <f aca="false">MAX(Пашинский!I39,Колесникова!I39,Степаненко!I39)</f>
        <v>9</v>
      </c>
    </row>
    <row r="17" customFormat="false" ht="15" hidden="false" customHeight="false" outlineLevel="0" collapsed="false">
      <c r="A17" s="7" t="s">
        <v>43</v>
      </c>
      <c r="B17" s="7" t="s">
        <v>44</v>
      </c>
      <c r="C17" s="11" t="n">
        <f aca="false">MIN(Пашинский!G15,Колесникова!G15,Степаненко!G15)</f>
        <v>6</v>
      </c>
      <c r="D17" s="11" t="n">
        <f aca="false">AVERAGE(Пашинский!H15,Колесникова!H15,Степаненко!H15)</f>
        <v>6.33333333333333</v>
      </c>
      <c r="E17" s="11" t="n">
        <f aca="false">MAX(Пашинский!I15,Колесникова!I15,Степаненко!I15)</f>
        <v>9</v>
      </c>
      <c r="F17" s="11" t="n">
        <f aca="false">MIN(Пашинский!G20,Колесникова!G20,Степаненко!G20)</f>
        <v>3</v>
      </c>
      <c r="G17" s="11" t="n">
        <f aca="false">AVERAGE(Пашинский!H20,Колесникова!H20,Степаненко!H20)</f>
        <v>5.33333333333333</v>
      </c>
      <c r="H17" s="11" t="n">
        <f aca="false">MAX(Пашинский!I20,Колесникова!I20,Степаненко!I20)</f>
        <v>6</v>
      </c>
      <c r="I17" s="11" t="n">
        <f aca="false">MIN(Пашинский!G25,Колесникова!G25,Степаненко!G25)</f>
        <v>2</v>
      </c>
      <c r="J17" s="11" t="n">
        <f aca="false">AVERAGE(Пашинский!H25,Колесникова!H25,Степаненко!H25)</f>
        <v>4</v>
      </c>
      <c r="K17" s="11" t="n">
        <f aca="false">MAX(Пашинский!I25,Колесникова!I25,Степаненко!I25)</f>
        <v>6</v>
      </c>
      <c r="L17" s="11" t="n">
        <f aca="false">MIN(Пашинский!G30,Колесникова!G30,Степаненко!G30)</f>
        <v>7</v>
      </c>
      <c r="M17" s="11" t="n">
        <f aca="false">AVERAGE(Пашинский!H30,Колесникова!H30,Степаненко!H30)</f>
        <v>8</v>
      </c>
      <c r="N17" s="11" t="n">
        <f aca="false">MAX(Пашинский!I30,Колесникова!I30,Степаненко!I30)</f>
        <v>10</v>
      </c>
      <c r="O17" s="11" t="n">
        <f aca="false">MIN(Пашинский!G35,Колесникова!G35,Степаненко!G35)</f>
        <v>3</v>
      </c>
      <c r="P17" s="11" t="n">
        <f aca="false">AVERAGE(Пашинский!H35,Колесникова!H35,Степаненко!H35)</f>
        <v>5</v>
      </c>
      <c r="Q17" s="11" t="n">
        <f aca="false">MAX(Пашинский!I35,Колесникова!I35,Степаненко!I35)</f>
        <v>6</v>
      </c>
      <c r="R17" s="11" t="n">
        <f aca="false">MIN(Пашинский!G40,Колесникова!G40,Степаненко!G40)</f>
        <v>2</v>
      </c>
      <c r="S17" s="11" t="n">
        <f aca="false">AVERAGE(Пашинский!H40,Колесникова!H40,Степаненко!H40)</f>
        <v>3.33333333333333</v>
      </c>
      <c r="T17" s="11" t="n">
        <f aca="false">MAX(Пашинский!I40,Колесникова!I40,Степаненко!I40)</f>
        <v>6</v>
      </c>
    </row>
    <row r="18" customFormat="false" ht="15" hidden="false" customHeight="false" outlineLevel="0" collapsed="false">
      <c r="A18" s="7" t="s">
        <v>45</v>
      </c>
      <c r="B18" s="7" t="s">
        <v>46</v>
      </c>
      <c r="C18" s="11" t="n">
        <f aca="false">MIN(Пашинский!G16,Колесникова!G16,Степаненко!G16)</f>
        <v>3</v>
      </c>
      <c r="D18" s="11" t="n">
        <f aca="false">AVERAGE(Пашинский!H16,Колесникова!H16,Степаненко!H16)</f>
        <v>6</v>
      </c>
      <c r="E18" s="11" t="n">
        <f aca="false">MAX(Пашинский!I16,Колесникова!I16,Степаненко!I16)</f>
        <v>8</v>
      </c>
      <c r="F18" s="11" t="n">
        <f aca="false">MIN(Пашинский!G21,Колесникова!G21,Степаненко!G21)</f>
        <v>2</v>
      </c>
      <c r="G18" s="11" t="n">
        <f aca="false">AVERAGE(Пашинский!H21,Колесникова!H21,Степаненко!H21)</f>
        <v>2.66666666666667</v>
      </c>
      <c r="H18" s="11" t="n">
        <f aca="false">MAX(Пашинский!I21,Колесникова!I21,Степаненко!I21)</f>
        <v>5</v>
      </c>
      <c r="I18" s="11" t="n">
        <f aca="false">MIN(Пашинский!G26,Колесникова!G26,Степаненко!G26)</f>
        <v>1</v>
      </c>
      <c r="J18" s="11" t="n">
        <f aca="false">AVERAGE(Пашинский!H26,Колесникова!H26,Степаненко!H26)</f>
        <v>3.66666666666667</v>
      </c>
      <c r="K18" s="11" t="n">
        <f aca="false">MAX(Пашинский!I26,Колесникова!I26,Степаненко!I26)</f>
        <v>4</v>
      </c>
      <c r="L18" s="11" t="n">
        <f aca="false">MIN(Пашинский!G31,Колесникова!G31,Степаненко!G31)</f>
        <v>4</v>
      </c>
      <c r="M18" s="11" t="n">
        <f aca="false">AVERAGE(Пашинский!H31,Колесникова!H31,Степаненко!H31)</f>
        <v>6</v>
      </c>
      <c r="N18" s="11" t="n">
        <f aca="false">MAX(Пашинский!I31,Колесникова!I31,Степаненко!I31)</f>
        <v>8</v>
      </c>
      <c r="O18" s="11" t="n">
        <f aca="false">MIN(Пашинский!G36,Колесникова!G36,Степаненко!G36)</f>
        <v>5</v>
      </c>
      <c r="P18" s="11" t="n">
        <f aca="false">AVERAGE(Пашинский!H36,Колесникова!H36,Степаненко!H36)</f>
        <v>6</v>
      </c>
      <c r="Q18" s="11" t="n">
        <f aca="false">MAX(Пашинский!I36,Колесникова!I36,Степаненко!I36)</f>
        <v>8</v>
      </c>
      <c r="R18" s="11" t="n">
        <f aca="false">MIN(Пашинский!G41,Колесникова!G41,Степаненко!G41)</f>
        <v>1</v>
      </c>
      <c r="S18" s="11" t="n">
        <f aca="false">AVERAGE(Пашинский!H41,Колесникова!H41,Степаненко!H41)</f>
        <v>2.66666666666667</v>
      </c>
      <c r="T18" s="11" t="n">
        <f aca="false">MAX(Пашинский!I41,Колесникова!I41,Степаненко!I41)</f>
        <v>3</v>
      </c>
    </row>
    <row r="19" customFormat="false" ht="15" hidden="false" customHeight="false" outlineLevel="0" collapsed="false">
      <c r="A19" s="7" t="s">
        <v>47</v>
      </c>
      <c r="B19" s="7" t="s">
        <v>48</v>
      </c>
      <c r="C19" s="11" t="n">
        <f aca="false">MIN(Пашинский!G17,Колесникова!G17,Степаненко!G17)</f>
        <v>5</v>
      </c>
      <c r="D19" s="11" t="n">
        <f aca="false">AVERAGE(Пашинский!H17,Колесникова!H17,Степаненко!H17)</f>
        <v>7</v>
      </c>
      <c r="E19" s="11" t="n">
        <f aca="false">MAX(Пашинский!I17,Колесникова!I17,Степаненко!I17)</f>
        <v>10</v>
      </c>
      <c r="F19" s="11" t="n">
        <f aca="false">MIN(Пашинский!G22,Колесникова!G22,Степаненко!G22)</f>
        <v>2</v>
      </c>
      <c r="G19" s="11" t="n">
        <f aca="false">AVERAGE(Пашинский!H22,Колесникова!H22,Степаненко!H22)</f>
        <v>4</v>
      </c>
      <c r="H19" s="11" t="n">
        <f aca="false">MAX(Пашинский!I22,Колесникова!I22,Степаненко!I22)</f>
        <v>5</v>
      </c>
      <c r="I19" s="11" t="n">
        <f aca="false">MIN(Пашинский!G27,Колесникова!G27,Степаненко!G27)</f>
        <v>3</v>
      </c>
      <c r="J19" s="11" t="n">
        <f aca="false">AVERAGE(Пашинский!H27,Колесникова!H27,Степаненко!H27)</f>
        <v>3</v>
      </c>
      <c r="K19" s="11" t="n">
        <f aca="false">MAX(Пашинский!I27,Колесникова!I27,Степаненко!I27)</f>
        <v>5</v>
      </c>
      <c r="L19" s="11" t="n">
        <f aca="false">MIN(Пашинский!G32,Колесникова!G32,Степаненко!G32)</f>
        <v>5</v>
      </c>
      <c r="M19" s="11" t="n">
        <f aca="false">AVERAGE(Пашинский!H32,Колесникова!H32,Степаненко!H32)</f>
        <v>7.66666666666667</v>
      </c>
      <c r="N19" s="11" t="n">
        <f aca="false">MAX(Пашинский!I32,Колесникова!I32,Степаненко!I32)</f>
        <v>8</v>
      </c>
      <c r="O19" s="11" t="n">
        <f aca="false">MIN(Пашинский!G37,Колесникова!G37,Степаненко!G37)</f>
        <v>2</v>
      </c>
      <c r="P19" s="11" t="n">
        <f aca="false">AVERAGE(Пашинский!H37,Колесникова!H37,Степаненко!H37)</f>
        <v>4</v>
      </c>
      <c r="Q19" s="11" t="n">
        <f aca="false">MAX(Пашинский!I37,Колесникова!I37,Степаненко!I37)</f>
        <v>6</v>
      </c>
      <c r="R19" s="11" t="n">
        <f aca="false">MIN(Пашинский!G42,Колесникова!G42,Степаненко!G42)</f>
        <v>4</v>
      </c>
      <c r="S19" s="11" t="n">
        <f aca="false">AVERAGE(Пашинский!H42,Колесникова!H42,Степаненко!H42)</f>
        <v>4.33333333333333</v>
      </c>
      <c r="T19" s="11" t="n">
        <f aca="false">MAX(Пашинский!I42,Колесникова!I42,Степаненко!I42)</f>
        <v>6</v>
      </c>
    </row>
    <row r="20" customFormat="false" ht="15" hidden="false" customHeight="false" outlineLevel="0" collapsed="false">
      <c r="A20" s="7"/>
      <c r="B20" s="12" t="s">
        <v>77</v>
      </c>
      <c r="C20" s="13" t="n">
        <f aca="false">IF(C21="B",MAX(E15:E19),MIN(C15:C19))</f>
        <v>10</v>
      </c>
      <c r="F20" s="13" t="n">
        <f aca="false">IF(F21="B",MAX(H15:H19),MIN(F15:F19))</f>
        <v>2</v>
      </c>
      <c r="I20" s="13" t="n">
        <f aca="false">IF(I21="B",MAX(K15:K19),MIN(I15:I19))</f>
        <v>1</v>
      </c>
      <c r="L20" s="13" t="n">
        <f aca="false">IF(L21="B",MAX(N15:N19),MIN(L15:L19))</f>
        <v>10</v>
      </c>
      <c r="O20" s="13" t="n">
        <f aca="false">IF(O21="B",MAX(Q15:Q19),MIN(O15:O19))</f>
        <v>10</v>
      </c>
      <c r="R20" s="13" t="n">
        <f aca="false">IF(R21="B",MAX(T15:T19),MIN(R15:R19))</f>
        <v>1</v>
      </c>
    </row>
    <row r="21" customFormat="false" ht="15" hidden="false" customHeight="false" outlineLevel="0" collapsed="false">
      <c r="A21" s="7"/>
      <c r="B21" s="12" t="s">
        <v>78</v>
      </c>
      <c r="C21" s="14" t="str">
        <f aca="false">Описание!C18</f>
        <v>B</v>
      </c>
      <c r="F21" s="14" t="str">
        <f aca="false">Описание!C19</f>
        <v>C</v>
      </c>
      <c r="I21" s="14" t="str">
        <f aca="false">Описание!C20</f>
        <v>C</v>
      </c>
      <c r="L21" s="14" t="str">
        <f aca="false">Описание!C21</f>
        <v>B</v>
      </c>
      <c r="O21" s="14" t="str">
        <f aca="false">Описание!C22</f>
        <v>B</v>
      </c>
      <c r="R21" s="14" t="str">
        <f aca="false">Описание!C23</f>
        <v>C</v>
      </c>
    </row>
  </sheetData>
  <mergeCells count="6">
    <mergeCell ref="C13:E13"/>
    <mergeCell ref="F13:H13"/>
    <mergeCell ref="I13:K13"/>
    <mergeCell ref="L13:N13"/>
    <mergeCell ref="O13:Q13"/>
    <mergeCell ref="R13:T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6"/>
    <col collapsed="false" customWidth="true" hidden="false" outlineLevel="0" max="20" min="3" style="1" width="8"/>
  </cols>
  <sheetData>
    <row r="1" customFormat="false" ht="17.35" hidden="false" customHeight="false" outlineLevel="0" collapsed="false">
      <c r="A1" s="2" t="s">
        <v>79</v>
      </c>
    </row>
    <row r="3" customFormat="false" ht="15" hidden="false" customHeight="true" outlineLevel="0" collapsed="false">
      <c r="A3" s="6" t="s">
        <v>13</v>
      </c>
      <c r="B3" s="6" t="s">
        <v>76</v>
      </c>
      <c r="C3" s="6" t="s">
        <v>62</v>
      </c>
      <c r="D3" s="6"/>
      <c r="E3" s="6"/>
      <c r="F3" s="6" t="s">
        <v>63</v>
      </c>
      <c r="G3" s="6"/>
      <c r="H3" s="6"/>
      <c r="I3" s="6" t="s">
        <v>64</v>
      </c>
      <c r="J3" s="6"/>
      <c r="K3" s="6"/>
      <c r="L3" s="6" t="s">
        <v>65</v>
      </c>
      <c r="M3" s="6"/>
      <c r="N3" s="6"/>
      <c r="O3" s="6" t="s">
        <v>66</v>
      </c>
      <c r="P3" s="6"/>
      <c r="Q3" s="6"/>
      <c r="R3" s="6" t="s">
        <v>67</v>
      </c>
      <c r="S3" s="6"/>
      <c r="T3" s="6"/>
    </row>
    <row r="4" customFormat="false" ht="15" hidden="false" customHeight="false" outlineLevel="0" collapsed="false">
      <c r="A4" s="6"/>
      <c r="B4" s="6"/>
      <c r="C4" s="6" t="s">
        <v>72</v>
      </c>
      <c r="D4" s="6" t="s">
        <v>73</v>
      </c>
      <c r="E4" s="6" t="s">
        <v>74</v>
      </c>
      <c r="F4" s="6" t="s">
        <v>72</v>
      </c>
      <c r="G4" s="6" t="s">
        <v>73</v>
      </c>
      <c r="H4" s="6" t="s">
        <v>74</v>
      </c>
      <c r="I4" s="6" t="s">
        <v>72</v>
      </c>
      <c r="J4" s="6" t="s">
        <v>73</v>
      </c>
      <c r="K4" s="6" t="s">
        <v>74</v>
      </c>
      <c r="L4" s="6" t="s">
        <v>72</v>
      </c>
      <c r="M4" s="6" t="s">
        <v>73</v>
      </c>
      <c r="N4" s="6" t="s">
        <v>74</v>
      </c>
      <c r="O4" s="6" t="s">
        <v>72</v>
      </c>
      <c r="P4" s="6" t="s">
        <v>73</v>
      </c>
      <c r="Q4" s="6" t="s">
        <v>74</v>
      </c>
      <c r="R4" s="6" t="s">
        <v>72</v>
      </c>
      <c r="S4" s="6" t="s">
        <v>73</v>
      </c>
      <c r="T4" s="6" t="s">
        <v>74</v>
      </c>
    </row>
    <row r="5" customFormat="false" ht="15" hidden="false" customHeight="false" outlineLevel="0" collapsed="false">
      <c r="A5" s="7" t="s">
        <v>39</v>
      </c>
      <c r="B5" s="7" t="s">
        <v>40</v>
      </c>
      <c r="C5" s="15" t="n">
        <f aca="false">IF(Агрегация!$C$21="B",Агрегация!C15/Агрегация!$C$20,Агрегация!$C$20/Агрегация!E15)</f>
        <v>0.6</v>
      </c>
      <c r="D5" s="15" t="n">
        <f aca="false">IF(Агрегация!$C$21="B",Агрегация!D15/Агрегация!$C$20,Агрегация!$C$20/Агрегация!D15)</f>
        <v>0.8</v>
      </c>
      <c r="E5" s="15" t="n">
        <f aca="false">IF(Агрегация!$C$21="B",Агрегация!E15/Агрегация!$C$20,Агрегация!$C$20/Агрегация!C15)</f>
        <v>1</v>
      </c>
      <c r="F5" s="15" t="n">
        <f aca="false">IF(Агрегация!$F$21="B",Агрегация!F15/Агрегация!$F$20,Агрегация!$F$20/Агрегация!H15)</f>
        <v>0.222222222222222</v>
      </c>
      <c r="G5" s="15" t="n">
        <f aca="false">IF(Агрегация!$F$21="B",Агрегация!G15/Агрегация!$F$20,Агрегация!$F$20/Агрегация!G15)</f>
        <v>0.3</v>
      </c>
      <c r="H5" s="15" t="n">
        <f aca="false">IF(Агрегация!$F$21="B",Агрегация!H15/Агрегация!$F$20,Агрегация!$F$20/Агрегация!F15)</f>
        <v>0.333333333333333</v>
      </c>
      <c r="I5" s="15" t="n">
        <f aca="false">IF(Агрегация!$I$21="B",Агрегация!I15/Агрегация!$I$20,Агрегация!$I$20/Агрегация!K15)</f>
        <v>0.142857142857143</v>
      </c>
      <c r="J5" s="15" t="n">
        <f aca="false">IF(Агрегация!$I$21="B",Агрегация!J15/Агрегация!$I$20,Агрегация!$I$20/Агрегация!J15)</f>
        <v>0.176470588235294</v>
      </c>
      <c r="K5" s="15" t="n">
        <f aca="false">IF(Агрегация!$I$21="B",Агрегация!K15/Агрегация!$I$20,Агрегация!$I$20/Агрегация!I15)</f>
        <v>0.25</v>
      </c>
      <c r="L5" s="15" t="n">
        <f aca="false">IF(Агрегация!$L$21="B",Агрегация!L15/Агрегация!$L$20,Агрегация!$L$20/Агрегация!N15)</f>
        <v>0.4</v>
      </c>
      <c r="M5" s="15" t="n">
        <f aca="false">IF(Агрегация!$L$21="B",Агрегация!M15/Агрегация!$L$20,Агрегация!$L$20/Агрегация!M15)</f>
        <v>0.6</v>
      </c>
      <c r="N5" s="15" t="n">
        <f aca="false">IF(Агрегация!$L$21="B",Агрегация!N15/Агрегация!$L$20,Агрегация!$L$20/Агрегация!L15)</f>
        <v>0.9</v>
      </c>
      <c r="O5" s="15" t="n">
        <f aca="false">IF(Агрегация!$O$21="B",Агрегация!O15/Агрегация!$O$20,Агрегация!$O$20/Агрегация!Q15)</f>
        <v>0.5</v>
      </c>
      <c r="P5" s="15" t="n">
        <f aca="false">IF(Агрегация!$O$21="B",Агрегация!P15/Агрегация!$O$20,Агрегация!$O$20/Агрегация!P15)</f>
        <v>0.833333333333333</v>
      </c>
      <c r="Q5" s="15" t="n">
        <f aca="false">IF(Агрегация!$O$21="B",Агрегация!Q15/Агрегация!$O$20,Агрегация!$O$20/Агрегация!O15)</f>
        <v>1</v>
      </c>
      <c r="R5" s="15" t="n">
        <f aca="false">IF(Агрегация!$R$21="B",Агрегация!R15/Агрегация!$R$20,Агрегация!$R$20/Агрегация!T15)</f>
        <v>0.111111111111111</v>
      </c>
      <c r="S5" s="15" t="n">
        <f aca="false">IF(Агрегация!$R$21="B",Агрегация!S15/Агрегация!$R$20,Агрегация!$R$20/Агрегация!S15)</f>
        <v>0.166666666666667</v>
      </c>
      <c r="T5" s="15" t="n">
        <f aca="false">IF(Агрегация!$R$21="B",Агрегация!T15/Агрегация!$R$20,Агрегация!$R$20/Агрегация!R15)</f>
        <v>0.2</v>
      </c>
    </row>
    <row r="6" customFormat="false" ht="15" hidden="false" customHeight="false" outlineLevel="0" collapsed="false">
      <c r="A6" s="7" t="s">
        <v>41</v>
      </c>
      <c r="B6" s="7" t="s">
        <v>42</v>
      </c>
      <c r="C6" s="15" t="n">
        <f aca="false">IF(Агрегация!$C$21="B",Агрегация!C16/Агрегация!$C$20,Агрегация!$C$20/Агрегация!E16)</f>
        <v>0.4</v>
      </c>
      <c r="D6" s="15" t="n">
        <f aca="false">IF(Агрегация!$C$21="B",Агрегация!D16/Агрегация!$C$20,Агрегация!$C$20/Агрегация!D16)</f>
        <v>0.766666666666667</v>
      </c>
      <c r="E6" s="15" t="n">
        <f aca="false">IF(Агрегация!$C$21="B",Агрегация!E16/Агрегация!$C$20,Агрегация!$C$20/Агрегация!C16)</f>
        <v>0.9</v>
      </c>
      <c r="F6" s="15" t="n">
        <f aca="false">IF(Агрегация!$F$21="B",Агрегация!F16/Агрегация!$F$20,Агрегация!$F$20/Агрегация!H16)</f>
        <v>0.2</v>
      </c>
      <c r="G6" s="15" t="n">
        <f aca="false">IF(Агрегация!$F$21="B",Агрегация!G16/Агрегация!$F$20,Агрегация!$F$20/Агрегация!G16)</f>
        <v>0.230769230769231</v>
      </c>
      <c r="H6" s="15" t="n">
        <f aca="false">IF(Агрегация!$F$21="B",Агрегация!H16/Агрегация!$F$20,Агрегация!$F$20/Агрегация!F16)</f>
        <v>0.285714285714286</v>
      </c>
      <c r="I6" s="15" t="n">
        <f aca="false">IF(Агрегация!$I$21="B",Агрегация!I16/Агрегация!$I$20,Агрегация!$I$20/Агрегация!K16)</f>
        <v>0.1</v>
      </c>
      <c r="J6" s="15" t="n">
        <f aca="false">IF(Агрегация!$I$21="B",Агрегация!J16/Агрегация!$I$20,Агрегация!$I$20/Агрегация!J16)</f>
        <v>0.111111111111111</v>
      </c>
      <c r="K6" s="15" t="n">
        <f aca="false">IF(Агрегация!$I$21="B",Агрегация!K16/Агрегация!$I$20,Агрегация!$I$20/Агрегация!I16)</f>
        <v>0.125</v>
      </c>
      <c r="L6" s="15" t="n">
        <f aca="false">IF(Агрегация!$L$21="B",Агрегация!L16/Агрегация!$L$20,Агрегация!$L$20/Агрегация!N16)</f>
        <v>0.4</v>
      </c>
      <c r="M6" s="15" t="n">
        <f aca="false">IF(Агрегация!$L$21="B",Агрегация!M16/Агрегация!$L$20,Агрегация!$L$20/Агрегация!M16)</f>
        <v>0.566666666666667</v>
      </c>
      <c r="N6" s="15" t="n">
        <f aca="false">IF(Агрегация!$L$21="B",Агрегация!N16/Агрегация!$L$20,Агрегация!$L$20/Агрегация!L16)</f>
        <v>0.6</v>
      </c>
      <c r="O6" s="15" t="n">
        <f aca="false">IF(Агрегация!$O$21="B",Агрегация!O16/Агрегация!$O$20,Агрегация!$O$20/Агрегация!Q16)</f>
        <v>0.4</v>
      </c>
      <c r="P6" s="15" t="n">
        <f aca="false">IF(Агрегация!$O$21="B",Агрегация!P16/Агрегация!$O$20,Агрегация!$O$20/Агрегация!P16)</f>
        <v>0.633333333333333</v>
      </c>
      <c r="Q6" s="15" t="n">
        <f aca="false">IF(Агрегация!$O$21="B",Агрегация!Q16/Агрегация!$O$20,Агрегация!$O$20/Агрегация!O16)</f>
        <v>1</v>
      </c>
      <c r="R6" s="15" t="n">
        <f aca="false">IF(Агрегация!$R$21="B",Агрегация!R16/Агрегация!$R$20,Агрегация!$R$20/Агрегация!T16)</f>
        <v>0.111111111111111</v>
      </c>
      <c r="S6" s="15" t="n">
        <f aca="false">IF(Агрегация!$R$21="B",Агрегация!S16/Агрегация!$R$20,Агрегация!$R$20/Агрегация!S16)</f>
        <v>0.136363636363636</v>
      </c>
      <c r="T6" s="15" t="n">
        <f aca="false">IF(Агрегация!$R$21="B",Агрегация!T16/Агрегация!$R$20,Агрегация!$R$20/Агрегация!R16)</f>
        <v>0.2</v>
      </c>
    </row>
    <row r="7" customFormat="false" ht="15" hidden="false" customHeight="false" outlineLevel="0" collapsed="false">
      <c r="A7" s="7" t="s">
        <v>43</v>
      </c>
      <c r="B7" s="7" t="s">
        <v>44</v>
      </c>
      <c r="C7" s="15" t="n">
        <f aca="false">IF(Агрегация!$C$21="B",Агрегация!C17/Агрегация!$C$20,Агрегация!$C$20/Агрегация!E17)</f>
        <v>0.6</v>
      </c>
      <c r="D7" s="15" t="n">
        <f aca="false">IF(Агрегация!$C$21="B",Агрегация!D17/Агрегация!$C$20,Агрегация!$C$20/Агрегация!D17)</f>
        <v>0.633333333333333</v>
      </c>
      <c r="E7" s="15" t="n">
        <f aca="false">IF(Агрегация!$C$21="B",Агрегация!E17/Агрегация!$C$20,Агрегация!$C$20/Агрегация!C17)</f>
        <v>0.9</v>
      </c>
      <c r="F7" s="15" t="n">
        <f aca="false">IF(Агрегация!$F$21="B",Агрегация!F17/Агрегация!$F$20,Агрегация!$F$20/Агрегация!H17)</f>
        <v>0.333333333333333</v>
      </c>
      <c r="G7" s="15" t="n">
        <f aca="false">IF(Агрегация!$F$21="B",Агрегация!G17/Агрегация!$F$20,Агрегация!$F$20/Агрегация!G17)</f>
        <v>0.375</v>
      </c>
      <c r="H7" s="15" t="n">
        <f aca="false">IF(Агрегация!$F$21="B",Агрегация!H17/Агрегация!$F$20,Агрегация!$F$20/Агрегация!F17)</f>
        <v>0.666666666666667</v>
      </c>
      <c r="I7" s="15" t="n">
        <f aca="false">IF(Агрегация!$I$21="B",Агрегация!I17/Агрегация!$I$20,Агрегация!$I$20/Агрегация!K17)</f>
        <v>0.166666666666667</v>
      </c>
      <c r="J7" s="15" t="n">
        <f aca="false">IF(Агрегация!$I$21="B",Агрегация!J17/Агрегация!$I$20,Агрегация!$I$20/Агрегация!J17)</f>
        <v>0.25</v>
      </c>
      <c r="K7" s="15" t="n">
        <f aca="false">IF(Агрегация!$I$21="B",Агрегация!K17/Агрегация!$I$20,Агрегация!$I$20/Агрегация!I17)</f>
        <v>0.5</v>
      </c>
      <c r="L7" s="15" t="n">
        <f aca="false">IF(Агрегация!$L$21="B",Агрегация!L17/Агрегация!$L$20,Агрегация!$L$20/Агрегация!N17)</f>
        <v>0.7</v>
      </c>
      <c r="M7" s="15" t="n">
        <f aca="false">IF(Агрегация!$L$21="B",Агрегация!M17/Агрегация!$L$20,Агрегация!$L$20/Агрегация!M17)</f>
        <v>0.8</v>
      </c>
      <c r="N7" s="15" t="n">
        <f aca="false">IF(Агрегация!$L$21="B",Агрегация!N17/Агрегация!$L$20,Агрегация!$L$20/Агрегация!L17)</f>
        <v>1</v>
      </c>
      <c r="O7" s="15" t="n">
        <f aca="false">IF(Агрегация!$O$21="B",Агрегация!O17/Агрегация!$O$20,Агрегация!$O$20/Агрегация!Q17)</f>
        <v>0.3</v>
      </c>
      <c r="P7" s="15" t="n">
        <f aca="false">IF(Агрегация!$O$21="B",Агрегация!P17/Агрегация!$O$20,Агрегация!$O$20/Агрегация!P17)</f>
        <v>0.5</v>
      </c>
      <c r="Q7" s="15" t="n">
        <f aca="false">IF(Агрегация!$O$21="B",Агрегация!Q17/Агрегация!$O$20,Агрегация!$O$20/Агрегация!O17)</f>
        <v>0.6</v>
      </c>
      <c r="R7" s="15" t="n">
        <f aca="false">IF(Агрегация!$R$21="B",Агрегация!R17/Агрегация!$R$20,Агрегация!$R$20/Агрегация!T17)</f>
        <v>0.166666666666667</v>
      </c>
      <c r="S7" s="15" t="n">
        <f aca="false">IF(Агрегация!$R$21="B",Агрегация!S17/Агрегация!$R$20,Агрегация!$R$20/Агрегация!S17)</f>
        <v>0.3</v>
      </c>
      <c r="T7" s="15" t="n">
        <f aca="false">IF(Агрегация!$R$21="B",Агрегация!T17/Агрегация!$R$20,Агрегация!$R$20/Агрегация!R17)</f>
        <v>0.5</v>
      </c>
    </row>
    <row r="8" customFormat="false" ht="15" hidden="false" customHeight="false" outlineLevel="0" collapsed="false">
      <c r="A8" s="7" t="s">
        <v>45</v>
      </c>
      <c r="B8" s="7" t="s">
        <v>46</v>
      </c>
      <c r="C8" s="15" t="n">
        <f aca="false">IF(Агрегация!$C$21="B",Агрегация!C18/Агрегация!$C$20,Агрегация!$C$20/Агрегация!E18)</f>
        <v>0.3</v>
      </c>
      <c r="D8" s="15" t="n">
        <f aca="false">IF(Агрегация!$C$21="B",Агрегация!D18/Агрегация!$C$20,Агрегация!$C$20/Агрегация!D18)</f>
        <v>0.6</v>
      </c>
      <c r="E8" s="15" t="n">
        <f aca="false">IF(Агрегация!$C$21="B",Агрегация!E18/Агрегация!$C$20,Агрегация!$C$20/Агрегация!C18)</f>
        <v>0.8</v>
      </c>
      <c r="F8" s="15" t="n">
        <f aca="false">IF(Агрегация!$F$21="B",Агрегация!F18/Агрегация!$F$20,Агрегация!$F$20/Агрегация!H18)</f>
        <v>0.4</v>
      </c>
      <c r="G8" s="15" t="n">
        <f aca="false">IF(Агрегация!$F$21="B",Агрегация!G18/Агрегация!$F$20,Агрегация!$F$20/Агрегация!G18)</f>
        <v>0.75</v>
      </c>
      <c r="H8" s="15" t="n">
        <f aca="false">IF(Агрегация!$F$21="B",Агрегация!H18/Агрегация!$F$20,Агрегация!$F$20/Агрегация!F18)</f>
        <v>1</v>
      </c>
      <c r="I8" s="15" t="n">
        <f aca="false">IF(Агрегация!$I$21="B",Агрегация!I18/Агрегация!$I$20,Агрегация!$I$20/Агрегация!K18)</f>
        <v>0.25</v>
      </c>
      <c r="J8" s="15" t="n">
        <f aca="false">IF(Агрегация!$I$21="B",Агрегация!J18/Агрегация!$I$20,Агрегация!$I$20/Агрегация!J18)</f>
        <v>0.272727272727273</v>
      </c>
      <c r="K8" s="15" t="n">
        <f aca="false">IF(Агрегация!$I$21="B",Агрегация!K18/Агрегация!$I$20,Агрегация!$I$20/Агрегация!I18)</f>
        <v>1</v>
      </c>
      <c r="L8" s="15" t="n">
        <f aca="false">IF(Агрегация!$L$21="B",Агрегация!L18/Агрегация!$L$20,Агрегация!$L$20/Агрегация!N18)</f>
        <v>0.4</v>
      </c>
      <c r="M8" s="15" t="n">
        <f aca="false">IF(Агрегация!$L$21="B",Агрегация!M18/Агрегация!$L$20,Агрегация!$L$20/Агрегация!M18)</f>
        <v>0.6</v>
      </c>
      <c r="N8" s="15" t="n">
        <f aca="false">IF(Агрегация!$L$21="B",Агрегация!N18/Агрегация!$L$20,Агрегация!$L$20/Агрегация!L18)</f>
        <v>0.8</v>
      </c>
      <c r="O8" s="15" t="n">
        <f aca="false">IF(Агрегация!$O$21="B",Агрегация!O18/Агрегация!$O$20,Агрегация!$O$20/Агрегация!Q18)</f>
        <v>0.5</v>
      </c>
      <c r="P8" s="15" t="n">
        <f aca="false">IF(Агрегация!$O$21="B",Агрегация!P18/Агрегация!$O$20,Агрегация!$O$20/Агрегация!P18)</f>
        <v>0.6</v>
      </c>
      <c r="Q8" s="15" t="n">
        <f aca="false">IF(Агрегация!$O$21="B",Агрегация!Q18/Агрегация!$O$20,Агрегация!$O$20/Агрегация!O18)</f>
        <v>0.8</v>
      </c>
      <c r="R8" s="15" t="n">
        <f aca="false">IF(Агрегация!$R$21="B",Агрегация!R18/Агрегация!$R$20,Агрегация!$R$20/Агрегация!T18)</f>
        <v>0.333333333333333</v>
      </c>
      <c r="S8" s="15" t="n">
        <f aca="false">IF(Агрегация!$R$21="B",Агрегация!S18/Агрегация!$R$20,Агрегация!$R$20/Агрегация!S18)</f>
        <v>0.375</v>
      </c>
      <c r="T8" s="15" t="n">
        <f aca="false">IF(Агрегация!$R$21="B",Агрегация!T18/Агрегация!$R$20,Агрегация!$R$20/Агрегация!R18)</f>
        <v>1</v>
      </c>
    </row>
    <row r="9" customFormat="false" ht="15" hidden="false" customHeight="false" outlineLevel="0" collapsed="false">
      <c r="A9" s="7" t="s">
        <v>47</v>
      </c>
      <c r="B9" s="7" t="s">
        <v>48</v>
      </c>
      <c r="C9" s="15" t="n">
        <f aca="false">IF(Агрегация!$C$21="B",Агрегация!C19/Агрегация!$C$20,Агрегация!$C$20/Агрегация!E19)</f>
        <v>0.5</v>
      </c>
      <c r="D9" s="15" t="n">
        <f aca="false">IF(Агрегация!$C$21="B",Агрегация!D19/Агрегация!$C$20,Агрегация!$C$20/Агрегация!D19)</f>
        <v>0.7</v>
      </c>
      <c r="E9" s="15" t="n">
        <f aca="false">IF(Агрегация!$C$21="B",Агрегация!E19/Агрегация!$C$20,Агрегация!$C$20/Агрегация!C19)</f>
        <v>1</v>
      </c>
      <c r="F9" s="15" t="n">
        <f aca="false">IF(Агрегация!$F$21="B",Агрегация!F19/Агрегация!$F$20,Агрегация!$F$20/Агрегация!H19)</f>
        <v>0.4</v>
      </c>
      <c r="G9" s="15" t="n">
        <f aca="false">IF(Агрегация!$F$21="B",Агрегация!G19/Агрегация!$F$20,Агрегация!$F$20/Агрегация!G19)</f>
        <v>0.5</v>
      </c>
      <c r="H9" s="15" t="n">
        <f aca="false">IF(Агрегация!$F$21="B",Агрегация!H19/Агрегация!$F$20,Агрегация!$F$20/Агрегация!F19)</f>
        <v>1</v>
      </c>
      <c r="I9" s="15" t="n">
        <f aca="false">IF(Агрегация!$I$21="B",Агрегация!I19/Агрегация!$I$20,Агрегация!$I$20/Агрегация!K19)</f>
        <v>0.2</v>
      </c>
      <c r="J9" s="15" t="n">
        <f aca="false">IF(Агрегация!$I$21="B",Агрегация!J19/Агрегация!$I$20,Агрегация!$I$20/Агрегация!J19)</f>
        <v>0.333333333333333</v>
      </c>
      <c r="K9" s="15" t="n">
        <f aca="false">IF(Агрегация!$I$21="B",Агрегация!K19/Агрегация!$I$20,Агрегация!$I$20/Агрегация!I19)</f>
        <v>0.333333333333333</v>
      </c>
      <c r="L9" s="15" t="n">
        <f aca="false">IF(Агрегация!$L$21="B",Агрегация!L19/Агрегация!$L$20,Агрегация!$L$20/Агрегация!N19)</f>
        <v>0.5</v>
      </c>
      <c r="M9" s="15" t="n">
        <f aca="false">IF(Агрегация!$L$21="B",Агрегация!M19/Агрегация!$L$20,Агрегация!$L$20/Агрегация!M19)</f>
        <v>0.766666666666667</v>
      </c>
      <c r="N9" s="15" t="n">
        <f aca="false">IF(Агрегация!$L$21="B",Агрегация!N19/Агрегация!$L$20,Агрегация!$L$20/Агрегация!L19)</f>
        <v>0.8</v>
      </c>
      <c r="O9" s="15" t="n">
        <f aca="false">IF(Агрегация!$O$21="B",Агрегация!O19/Агрегация!$O$20,Агрегация!$O$20/Агрегация!Q19)</f>
        <v>0.2</v>
      </c>
      <c r="P9" s="15" t="n">
        <f aca="false">IF(Агрегация!$O$21="B",Агрегация!P19/Агрегация!$O$20,Агрегация!$O$20/Агрегация!P19)</f>
        <v>0.4</v>
      </c>
      <c r="Q9" s="15" t="n">
        <f aca="false">IF(Агрегация!$O$21="B",Агрегация!Q19/Агрегация!$O$20,Агрегация!$O$20/Агрегация!O19)</f>
        <v>0.6</v>
      </c>
      <c r="R9" s="15" t="n">
        <f aca="false">IF(Агрегация!$R$21="B",Агрегация!R19/Агрегация!$R$20,Агрегация!$R$20/Агрегация!T19)</f>
        <v>0.166666666666667</v>
      </c>
      <c r="S9" s="15" t="n">
        <f aca="false">IF(Агрегация!$R$21="B",Агрегация!S19/Агрегация!$R$20,Агрегация!$R$20/Агрегация!S19)</f>
        <v>0.230769230769231</v>
      </c>
      <c r="T9" s="15" t="n">
        <f aca="false">IF(Агрегация!$R$21="B",Агрегация!T19/Агрегация!$R$20,Агрегация!$R$20/Агрегация!R19)</f>
        <v>0.25</v>
      </c>
    </row>
  </sheetData>
  <mergeCells count="6">
    <mergeCell ref="C3:E3"/>
    <mergeCell ref="F3:H3"/>
    <mergeCell ref="I3:K3"/>
    <mergeCell ref="L3:N3"/>
    <mergeCell ref="O3:Q3"/>
    <mergeCell ref="R3:T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6"/>
    <col collapsed="false" customWidth="true" hidden="false" outlineLevel="0" max="20" min="3" style="1" width="8"/>
  </cols>
  <sheetData>
    <row r="1" customFormat="false" ht="17.35" hidden="false" customHeight="false" outlineLevel="0" collapsed="false">
      <c r="A1" s="2" t="s">
        <v>80</v>
      </c>
    </row>
    <row r="3" customFormat="false" ht="15" hidden="false" customHeight="true" outlineLevel="0" collapsed="false">
      <c r="A3" s="6" t="s">
        <v>13</v>
      </c>
      <c r="B3" s="6" t="s">
        <v>76</v>
      </c>
      <c r="C3" s="6" t="s">
        <v>62</v>
      </c>
      <c r="D3" s="6"/>
      <c r="E3" s="6"/>
      <c r="F3" s="6" t="s">
        <v>63</v>
      </c>
      <c r="G3" s="6"/>
      <c r="H3" s="6"/>
      <c r="I3" s="6" t="s">
        <v>64</v>
      </c>
      <c r="J3" s="6"/>
      <c r="K3" s="6"/>
      <c r="L3" s="6" t="s">
        <v>65</v>
      </c>
      <c r="M3" s="6"/>
      <c r="N3" s="6"/>
      <c r="O3" s="6" t="s">
        <v>66</v>
      </c>
      <c r="P3" s="6"/>
      <c r="Q3" s="6"/>
      <c r="R3" s="6" t="s">
        <v>67</v>
      </c>
      <c r="S3" s="6"/>
      <c r="T3" s="6"/>
    </row>
    <row r="4" customFormat="false" ht="15" hidden="false" customHeight="false" outlineLevel="0" collapsed="false">
      <c r="A4" s="6"/>
      <c r="B4" s="6"/>
      <c r="C4" s="6" t="s">
        <v>72</v>
      </c>
      <c r="D4" s="6" t="s">
        <v>73</v>
      </c>
      <c r="E4" s="6" t="s">
        <v>74</v>
      </c>
      <c r="F4" s="6" t="s">
        <v>72</v>
      </c>
      <c r="G4" s="6" t="s">
        <v>73</v>
      </c>
      <c r="H4" s="6" t="s">
        <v>74</v>
      </c>
      <c r="I4" s="6" t="s">
        <v>72</v>
      </c>
      <c r="J4" s="6" t="s">
        <v>73</v>
      </c>
      <c r="K4" s="6" t="s">
        <v>74</v>
      </c>
      <c r="L4" s="6" t="s">
        <v>72</v>
      </c>
      <c r="M4" s="6" t="s">
        <v>73</v>
      </c>
      <c r="N4" s="6" t="s">
        <v>74</v>
      </c>
      <c r="O4" s="6" t="s">
        <v>72</v>
      </c>
      <c r="P4" s="6" t="s">
        <v>73</v>
      </c>
      <c r="Q4" s="6" t="s">
        <v>74</v>
      </c>
      <c r="R4" s="6" t="s">
        <v>72</v>
      </c>
      <c r="S4" s="6" t="s">
        <v>73</v>
      </c>
      <c r="T4" s="6" t="s">
        <v>74</v>
      </c>
    </row>
    <row r="5" customFormat="false" ht="15" hidden="false" customHeight="false" outlineLevel="0" collapsed="false">
      <c r="A5" s="7" t="s">
        <v>39</v>
      </c>
      <c r="B5" s="7" t="s">
        <v>40</v>
      </c>
      <c r="C5" s="15" t="n">
        <f aca="false">Нормализация!C5*Агрегация!$C$5/Описание!$C$34</f>
        <v>0.3</v>
      </c>
      <c r="D5" s="15" t="n">
        <f aca="false">Нормализация!D5*Агрегация!$D$5/Описание!$C$34</f>
        <v>0.56</v>
      </c>
      <c r="E5" s="15" t="n">
        <f aca="false">Нормализация!E5*Агрегация!$E$5/Описание!$C$34</f>
        <v>0.9</v>
      </c>
      <c r="F5" s="15" t="n">
        <f aca="false">Нормализация!F5*Агрегация!$C$6/Описание!$C$34</f>
        <v>0.0888888888888889</v>
      </c>
      <c r="G5" s="15" t="n">
        <f aca="false">Нормализация!G5*Агрегация!$D$6/Описание!$C$34</f>
        <v>0.2</v>
      </c>
      <c r="H5" s="15" t="n">
        <f aca="false">Нормализация!H5*Агрегация!$E$6/Описание!$C$34</f>
        <v>0.333333333333333</v>
      </c>
      <c r="I5" s="15" t="n">
        <f aca="false">Нормализация!I5*Агрегация!$C$7/Описание!$C$34</f>
        <v>0.0428571428571429</v>
      </c>
      <c r="J5" s="15" t="n">
        <f aca="false">Нормализация!J5*Агрегация!$D$7/Описание!$C$34</f>
        <v>0.111764705882353</v>
      </c>
      <c r="K5" s="15" t="n">
        <f aca="false">Нормализация!K5*Агрегация!$E$7/Описание!$C$34</f>
        <v>0.225</v>
      </c>
      <c r="L5" s="15" t="n">
        <f aca="false">Нормализация!L5*Агрегация!$C$8/Описание!$C$34</f>
        <v>0.16</v>
      </c>
      <c r="M5" s="15" t="n">
        <f aca="false">Нормализация!M5*Агрегация!$D$8/Описание!$C$34</f>
        <v>0.38</v>
      </c>
      <c r="N5" s="15" t="n">
        <f aca="false">Нормализация!N5*Агрегация!$E$8/Описание!$C$34</f>
        <v>0.81</v>
      </c>
      <c r="O5" s="15" t="n">
        <f aca="false">Нормализация!O5*Агрегация!$C$9/Описание!$C$34</f>
        <v>0.15</v>
      </c>
      <c r="P5" s="15" t="n">
        <f aca="false">Нормализация!P5*Агрегация!$D$9/Описание!$C$34</f>
        <v>0.555555555555556</v>
      </c>
      <c r="Q5" s="15" t="n">
        <f aca="false">Нормализация!Q5*Агрегация!$E$9/Описание!$C$34</f>
        <v>1</v>
      </c>
      <c r="R5" s="15" t="n">
        <f aca="false">Нормализация!R5*Агрегация!$C$10/Описание!$C$34</f>
        <v>0.0222222222222222</v>
      </c>
      <c r="S5" s="15" t="n">
        <f aca="false">Нормализация!S5*Агрегация!$D$10/Описание!$C$34</f>
        <v>0.0666666666666667</v>
      </c>
      <c r="T5" s="15" t="n">
        <f aca="false">Нормализация!T5*Агрегация!$E$10/Описание!$C$34</f>
        <v>0.14</v>
      </c>
    </row>
    <row r="6" customFormat="false" ht="15" hidden="false" customHeight="false" outlineLevel="0" collapsed="false">
      <c r="A6" s="7" t="s">
        <v>41</v>
      </c>
      <c r="B6" s="7" t="s">
        <v>42</v>
      </c>
      <c r="C6" s="15" t="n">
        <f aca="false">Нормализация!C6*Агрегация!$C$5/Описание!$C$34</f>
        <v>0.2</v>
      </c>
      <c r="D6" s="15" t="n">
        <f aca="false">Нормализация!D6*Агрегация!$D$5/Описание!$C$34</f>
        <v>0.536666666666667</v>
      </c>
      <c r="E6" s="15" t="n">
        <f aca="false">Нормализация!E6*Агрегация!$E$5/Описание!$C$34</f>
        <v>0.81</v>
      </c>
      <c r="F6" s="15" t="n">
        <f aca="false">Нормализация!F6*Агрегация!$C$6/Описание!$C$34</f>
        <v>0.08</v>
      </c>
      <c r="G6" s="15" t="n">
        <f aca="false">Нормализация!G6*Агрегация!$D$6/Описание!$C$34</f>
        <v>0.153846153846154</v>
      </c>
      <c r="H6" s="15" t="n">
        <f aca="false">Нормализация!H6*Агрегация!$E$6/Описание!$C$34</f>
        <v>0.285714285714286</v>
      </c>
      <c r="I6" s="15" t="n">
        <f aca="false">Нормализация!I6*Агрегация!$C$7/Описание!$C$34</f>
        <v>0.03</v>
      </c>
      <c r="J6" s="15" t="n">
        <f aca="false">Нормализация!J6*Агрегация!$D$7/Описание!$C$34</f>
        <v>0.0703703703703704</v>
      </c>
      <c r="K6" s="15" t="n">
        <f aca="false">Нормализация!K6*Агрегация!$E$7/Описание!$C$34</f>
        <v>0.1125</v>
      </c>
      <c r="L6" s="15" t="n">
        <f aca="false">Нормализация!L6*Агрегация!$C$8/Описание!$C$34</f>
        <v>0.16</v>
      </c>
      <c r="M6" s="15" t="n">
        <f aca="false">Нормализация!M6*Агрегация!$D$8/Описание!$C$34</f>
        <v>0.358888888888889</v>
      </c>
      <c r="N6" s="15" t="n">
        <f aca="false">Нормализация!N6*Агрегация!$E$8/Описание!$C$34</f>
        <v>0.54</v>
      </c>
      <c r="O6" s="15" t="n">
        <f aca="false">Нормализация!O6*Агрегация!$C$9/Описание!$C$34</f>
        <v>0.12</v>
      </c>
      <c r="P6" s="15" t="n">
        <f aca="false">Нормализация!P6*Агрегация!$D$9/Описание!$C$34</f>
        <v>0.422222222222222</v>
      </c>
      <c r="Q6" s="15" t="n">
        <f aca="false">Нормализация!Q6*Агрегация!$E$9/Описание!$C$34</f>
        <v>1</v>
      </c>
      <c r="R6" s="15" t="n">
        <f aca="false">Нормализация!R6*Агрегация!$C$10/Описание!$C$34</f>
        <v>0.0222222222222222</v>
      </c>
      <c r="S6" s="15" t="n">
        <f aca="false">Нормализация!S6*Агрегация!$D$10/Описание!$C$34</f>
        <v>0.0545454545454546</v>
      </c>
      <c r="T6" s="15" t="n">
        <f aca="false">Нормализация!T6*Агрегация!$E$10/Описание!$C$34</f>
        <v>0.14</v>
      </c>
    </row>
    <row r="7" customFormat="false" ht="15" hidden="false" customHeight="false" outlineLevel="0" collapsed="false">
      <c r="A7" s="7" t="s">
        <v>43</v>
      </c>
      <c r="B7" s="7" t="s">
        <v>44</v>
      </c>
      <c r="C7" s="15" t="n">
        <f aca="false">Нормализация!C7*Агрегация!$C$5/Описание!$C$34</f>
        <v>0.3</v>
      </c>
      <c r="D7" s="15" t="n">
        <f aca="false">Нормализация!D7*Агрегация!$D$5/Описание!$C$34</f>
        <v>0.443333333333333</v>
      </c>
      <c r="E7" s="15" t="n">
        <f aca="false">Нормализация!E7*Агрегация!$E$5/Описание!$C$34</f>
        <v>0.81</v>
      </c>
      <c r="F7" s="15" t="n">
        <f aca="false">Нормализация!F7*Агрегация!$C$6/Описание!$C$34</f>
        <v>0.133333333333333</v>
      </c>
      <c r="G7" s="15" t="n">
        <f aca="false">Нормализация!G7*Агрегация!$D$6/Описание!$C$34</f>
        <v>0.25</v>
      </c>
      <c r="H7" s="15" t="n">
        <f aca="false">Нормализация!H7*Агрегация!$E$6/Описание!$C$34</f>
        <v>0.666666666666667</v>
      </c>
      <c r="I7" s="15" t="n">
        <f aca="false">Нормализация!I7*Агрегация!$C$7/Описание!$C$34</f>
        <v>0.05</v>
      </c>
      <c r="J7" s="15" t="n">
        <f aca="false">Нормализация!J7*Агрегация!$D$7/Описание!$C$34</f>
        <v>0.158333333333333</v>
      </c>
      <c r="K7" s="15" t="n">
        <f aca="false">Нормализация!K7*Агрегация!$E$7/Описание!$C$34</f>
        <v>0.45</v>
      </c>
      <c r="L7" s="15" t="n">
        <f aca="false">Нормализация!L7*Агрегация!$C$8/Описание!$C$34</f>
        <v>0.28</v>
      </c>
      <c r="M7" s="15" t="n">
        <f aca="false">Нормализация!M7*Агрегация!$D$8/Описание!$C$34</f>
        <v>0.506666666666667</v>
      </c>
      <c r="N7" s="15" t="n">
        <f aca="false">Нормализация!N7*Агрегация!$E$8/Описание!$C$34</f>
        <v>0.9</v>
      </c>
      <c r="O7" s="15" t="n">
        <f aca="false">Нормализация!O7*Агрегация!$C$9/Описание!$C$34</f>
        <v>0.09</v>
      </c>
      <c r="P7" s="15" t="n">
        <f aca="false">Нормализация!P7*Агрегация!$D$9/Описание!$C$34</f>
        <v>0.333333333333333</v>
      </c>
      <c r="Q7" s="15" t="n">
        <f aca="false">Нормализация!Q7*Агрегация!$E$9/Описание!$C$34</f>
        <v>0.6</v>
      </c>
      <c r="R7" s="15" t="n">
        <f aca="false">Нормализация!R7*Агрегация!$C$10/Описание!$C$34</f>
        <v>0.0333333333333333</v>
      </c>
      <c r="S7" s="15" t="n">
        <f aca="false">Нормализация!S7*Агрегация!$D$10/Описание!$C$34</f>
        <v>0.12</v>
      </c>
      <c r="T7" s="15" t="n">
        <f aca="false">Нормализация!T7*Агрегация!$E$10/Описание!$C$34</f>
        <v>0.35</v>
      </c>
    </row>
    <row r="8" customFormat="false" ht="15" hidden="false" customHeight="false" outlineLevel="0" collapsed="false">
      <c r="A8" s="7" t="s">
        <v>45</v>
      </c>
      <c r="B8" s="7" t="s">
        <v>46</v>
      </c>
      <c r="C8" s="15" t="n">
        <f aca="false">Нормализация!C8*Агрегация!$C$5/Описание!$C$34</f>
        <v>0.15</v>
      </c>
      <c r="D8" s="15" t="n">
        <f aca="false">Нормализация!D8*Агрегация!$D$5/Описание!$C$34</f>
        <v>0.42</v>
      </c>
      <c r="E8" s="15" t="n">
        <f aca="false">Нормализация!E8*Агрегация!$E$5/Описание!$C$34</f>
        <v>0.72</v>
      </c>
      <c r="F8" s="15" t="n">
        <f aca="false">Нормализация!F8*Агрегация!$C$6/Описание!$C$34</f>
        <v>0.16</v>
      </c>
      <c r="G8" s="15" t="n">
        <f aca="false">Нормализация!G8*Агрегация!$D$6/Описание!$C$34</f>
        <v>0.5</v>
      </c>
      <c r="H8" s="15" t="n">
        <f aca="false">Нормализация!H8*Агрегация!$E$6/Описание!$C$34</f>
        <v>1</v>
      </c>
      <c r="I8" s="15" t="n">
        <f aca="false">Нормализация!I8*Агрегация!$C$7/Описание!$C$34</f>
        <v>0.075</v>
      </c>
      <c r="J8" s="15" t="n">
        <f aca="false">Нормализация!J8*Агрегация!$D$7/Описание!$C$34</f>
        <v>0.172727272727273</v>
      </c>
      <c r="K8" s="15" t="n">
        <f aca="false">Нормализация!K8*Агрегация!$E$7/Описание!$C$34</f>
        <v>0.9</v>
      </c>
      <c r="L8" s="15" t="n">
        <f aca="false">Нормализация!L8*Агрегация!$C$8/Описание!$C$34</f>
        <v>0.16</v>
      </c>
      <c r="M8" s="15" t="n">
        <f aca="false">Нормализация!M8*Агрегация!$D$8/Описание!$C$34</f>
        <v>0.38</v>
      </c>
      <c r="N8" s="15" t="n">
        <f aca="false">Нормализация!N8*Агрегация!$E$8/Описание!$C$34</f>
        <v>0.72</v>
      </c>
      <c r="O8" s="15" t="n">
        <f aca="false">Нормализация!O8*Агрегация!$C$9/Описание!$C$34</f>
        <v>0.15</v>
      </c>
      <c r="P8" s="15" t="n">
        <f aca="false">Нормализация!P8*Агрегация!$D$9/Описание!$C$34</f>
        <v>0.4</v>
      </c>
      <c r="Q8" s="15" t="n">
        <f aca="false">Нормализация!Q8*Агрегация!$E$9/Описание!$C$34</f>
        <v>0.8</v>
      </c>
      <c r="R8" s="15" t="n">
        <f aca="false">Нормализация!R8*Агрегация!$C$10/Описание!$C$34</f>
        <v>0.0666666666666667</v>
      </c>
      <c r="S8" s="15" t="n">
        <f aca="false">Нормализация!S8*Агрегация!$D$10/Описание!$C$34</f>
        <v>0.15</v>
      </c>
      <c r="T8" s="15" t="n">
        <f aca="false">Нормализация!T8*Агрегация!$E$10/Описание!$C$34</f>
        <v>0.7</v>
      </c>
    </row>
    <row r="9" customFormat="false" ht="15" hidden="false" customHeight="false" outlineLevel="0" collapsed="false">
      <c r="A9" s="7" t="s">
        <v>47</v>
      </c>
      <c r="B9" s="7" t="s">
        <v>48</v>
      </c>
      <c r="C9" s="15" t="n">
        <f aca="false">Нормализация!C9*Агрегация!$C$5/Описание!$C$34</f>
        <v>0.25</v>
      </c>
      <c r="D9" s="15" t="n">
        <f aca="false">Нормализация!D9*Агрегация!$D$5/Описание!$C$34</f>
        <v>0.49</v>
      </c>
      <c r="E9" s="15" t="n">
        <f aca="false">Нормализация!E9*Агрегация!$E$5/Описание!$C$34</f>
        <v>0.9</v>
      </c>
      <c r="F9" s="15" t="n">
        <f aca="false">Нормализация!F9*Агрегация!$C$6/Описание!$C$34</f>
        <v>0.16</v>
      </c>
      <c r="G9" s="15" t="n">
        <f aca="false">Нормализация!G9*Агрегация!$D$6/Описание!$C$34</f>
        <v>0.333333333333333</v>
      </c>
      <c r="H9" s="15" t="n">
        <f aca="false">Нормализация!H9*Агрегация!$E$6/Описание!$C$34</f>
        <v>1</v>
      </c>
      <c r="I9" s="15" t="n">
        <f aca="false">Нормализация!I9*Агрегация!$C$7/Описание!$C$34</f>
        <v>0.06</v>
      </c>
      <c r="J9" s="15" t="n">
        <f aca="false">Нормализация!J9*Агрегация!$D$7/Описание!$C$34</f>
        <v>0.211111111111111</v>
      </c>
      <c r="K9" s="15" t="n">
        <f aca="false">Нормализация!K9*Агрегация!$E$7/Описание!$C$34</f>
        <v>0.3</v>
      </c>
      <c r="L9" s="15" t="n">
        <f aca="false">Нормализация!L9*Агрегация!$C$8/Описание!$C$34</f>
        <v>0.2</v>
      </c>
      <c r="M9" s="15" t="n">
        <f aca="false">Нормализация!M9*Агрегация!$D$8/Описание!$C$34</f>
        <v>0.485555555555556</v>
      </c>
      <c r="N9" s="15" t="n">
        <f aca="false">Нормализация!N9*Агрегация!$E$8/Описание!$C$34</f>
        <v>0.72</v>
      </c>
      <c r="O9" s="15" t="n">
        <f aca="false">Нормализация!O9*Агрегация!$C$9/Описание!$C$34</f>
        <v>0.06</v>
      </c>
      <c r="P9" s="15" t="n">
        <f aca="false">Нормализация!P9*Агрегация!$D$9/Описание!$C$34</f>
        <v>0.266666666666667</v>
      </c>
      <c r="Q9" s="15" t="n">
        <f aca="false">Нормализация!Q9*Агрегация!$E$9/Описание!$C$34</f>
        <v>0.6</v>
      </c>
      <c r="R9" s="15" t="n">
        <f aca="false">Нормализация!R9*Агрегация!$C$10/Описание!$C$34</f>
        <v>0.0333333333333333</v>
      </c>
      <c r="S9" s="15" t="n">
        <f aca="false">Нормализация!S9*Агрегация!$D$10/Описание!$C$34</f>
        <v>0.0923076923076923</v>
      </c>
      <c r="T9" s="15" t="n">
        <f aca="false">Нормализация!T9*Агрегация!$E$10/Описание!$C$34</f>
        <v>0.175</v>
      </c>
    </row>
  </sheetData>
  <mergeCells count="6">
    <mergeCell ref="C3:E3"/>
    <mergeCell ref="F3:H3"/>
    <mergeCell ref="I3:K3"/>
    <mergeCell ref="L3:N3"/>
    <mergeCell ref="O3:Q3"/>
    <mergeCell ref="R3:T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9" activeCellId="0" sqref="N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6"/>
    <col collapsed="false" customWidth="true" hidden="false" outlineLevel="0" max="16" min="3" style="1" width="8"/>
  </cols>
  <sheetData>
    <row r="1" customFormat="false" ht="17.35" hidden="false" customHeight="false" outlineLevel="0" collapsed="false">
      <c r="A1" s="2" t="s">
        <v>81</v>
      </c>
    </row>
    <row r="3" customFormat="false" ht="15" hidden="false" customHeight="true" outlineLevel="0" collapsed="false">
      <c r="A3" s="6" t="s">
        <v>13</v>
      </c>
      <c r="B3" s="6" t="s">
        <v>76</v>
      </c>
      <c r="C3" s="6" t="s">
        <v>17</v>
      </c>
      <c r="D3" s="6"/>
      <c r="E3" s="6" t="s">
        <v>21</v>
      </c>
      <c r="F3" s="6"/>
      <c r="G3" s="6" t="s">
        <v>25</v>
      </c>
      <c r="H3" s="6"/>
      <c r="I3" s="6" t="s">
        <v>28</v>
      </c>
      <c r="J3" s="6"/>
      <c r="K3" s="6" t="s">
        <v>31</v>
      </c>
      <c r="L3" s="6"/>
      <c r="M3" s="6" t="s">
        <v>34</v>
      </c>
      <c r="N3" s="6"/>
      <c r="O3" s="6" t="s">
        <v>82</v>
      </c>
      <c r="P3" s="6" t="s">
        <v>83</v>
      </c>
    </row>
    <row r="4" customFormat="false" ht="15" hidden="false" customHeight="false" outlineLevel="0" collapsed="false">
      <c r="A4" s="6"/>
      <c r="B4" s="6"/>
      <c r="C4" s="6" t="s">
        <v>84</v>
      </c>
      <c r="D4" s="6" t="s">
        <v>85</v>
      </c>
      <c r="E4" s="6" t="s">
        <v>84</v>
      </c>
      <c r="F4" s="6" t="s">
        <v>85</v>
      </c>
      <c r="G4" s="6" t="s">
        <v>84</v>
      </c>
      <c r="H4" s="6" t="s">
        <v>85</v>
      </c>
      <c r="I4" s="6" t="s">
        <v>84</v>
      </c>
      <c r="J4" s="6" t="s">
        <v>85</v>
      </c>
      <c r="K4" s="6" t="s">
        <v>84</v>
      </c>
      <c r="L4" s="6" t="s">
        <v>85</v>
      </c>
      <c r="M4" s="6" t="s">
        <v>84</v>
      </c>
      <c r="N4" s="6" t="s">
        <v>85</v>
      </c>
      <c r="O4" s="6"/>
      <c r="P4" s="6"/>
    </row>
    <row r="5" customFormat="false" ht="15" hidden="false" customHeight="false" outlineLevel="0" collapsed="false">
      <c r="A5" s="7" t="s">
        <v>39</v>
      </c>
      <c r="B5" s="7" t="s">
        <v>40</v>
      </c>
      <c r="C5" s="15" t="n">
        <f aca="false">SQRT(((Взвешенная!C5-1)^2+(Взвешенная!D5-1)^2+(Взвешенная!E5-1)^2)/3)</f>
        <v>0.480832611206852</v>
      </c>
      <c r="D5" s="15" t="n">
        <f aca="false">SQRT(((Взвешенная!C5)^2+(Взвешенная!D5)^2+(Взвешенная!E5)^2)/3)</f>
        <v>0.636029349427629</v>
      </c>
      <c r="E5" s="15" t="n">
        <f aca="false">SQRT(((Взвешенная!F5-1)^2+(Взвешенная!G5-1)^2+(Взвешенная!H5-1)^2)/3)</f>
        <v>0.798867511175366</v>
      </c>
      <c r="F5" s="15" t="n">
        <f aca="false">SQRT(((Взвешенная!F5)^2+(Взвешенная!G5)^2+(Взвешенная!H5)^2)/3)</f>
        <v>0.230226226191408</v>
      </c>
      <c r="G5" s="15" t="n">
        <f aca="false">SQRT(((Взвешенная!I5-1)^2+(Взвешенная!J5-1)^2+(Взвешенная!K5-1)^2)/3)</f>
        <v>0.876681125361602</v>
      </c>
      <c r="H5" s="15" t="n">
        <f aca="false">SQRT(((Взвешенная!I5)^2+(Взвешенная!J5)^2+(Взвешенная!K5)^2)/3)</f>
        <v>0.147142883138404</v>
      </c>
      <c r="I5" s="15" t="n">
        <f aca="false">SQRT(((Взвешенная!L5-1)^2+(Взвешенная!M5-1)^2+(Взвешенная!N5-1)^2)/3)</f>
        <v>0.612671744628938</v>
      </c>
      <c r="J5" s="15" t="n">
        <f aca="false">SQRT(((Взвешенная!L5)^2+(Взвешенная!M5)^2+(Взвешенная!N5)^2)/3)</f>
        <v>0.524753910577774</v>
      </c>
      <c r="K5" s="15" t="n">
        <f aca="false">SQRT(((Взвешенная!O5-1)^2+(Взвешенная!P5-1)^2+(Взвешенная!Q5-1)^2)/3)</f>
        <v>0.553784213148506</v>
      </c>
      <c r="L5" s="15" t="n">
        <f aca="false">SQRT(((Взвешенная!O5)^2+(Взвешенная!P5)^2+(Взвешенная!Q5)^2)/3)</f>
        <v>0.666118601879235</v>
      </c>
      <c r="M5" s="15" t="n">
        <f aca="false">SQRT(((Взвешенная!R5-1)^2+(Взвешенная!S5-1)^2+(Взвешенная!T5-1)^2)/3)</f>
        <v>0.92497936802705</v>
      </c>
      <c r="N5" s="15" t="n">
        <f aca="false">SQRT(((Взвешенная!R5)^2+(Взвешенная!S5)^2+(Взвешенная!T5)^2)/3)</f>
        <v>0.0904401673390356</v>
      </c>
      <c r="O5" s="16" t="n">
        <f aca="false">C5+E5+G5+I5+K5+M5</f>
        <v>4.24781657354831</v>
      </c>
      <c r="P5" s="16" t="n">
        <f aca="false">D5+F5+H5+J5+L5+N5</f>
        <v>2.29471113855349</v>
      </c>
    </row>
    <row r="6" customFormat="false" ht="15" hidden="false" customHeight="false" outlineLevel="0" collapsed="false">
      <c r="A6" s="7" t="s">
        <v>41</v>
      </c>
      <c r="B6" s="7" t="s">
        <v>42</v>
      </c>
      <c r="C6" s="15" t="n">
        <f aca="false">SQRT(((Взвешенная!C6-1)^2+(Взвешенная!D6-1)^2+(Взвешенная!E6-1)^2)/3)</f>
        <v>0.544909098773296</v>
      </c>
      <c r="D6" s="15" t="n">
        <f aca="false">SQRT(((Взвешенная!C6)^2+(Взвешенная!D6)^2+(Взвешенная!E6)^2)/3)</f>
        <v>0.572745176354229</v>
      </c>
      <c r="E6" s="15" t="n">
        <f aca="false">SQRT(((Взвешенная!F6-1)^2+(Взвешенная!G6-1)^2+(Взвешенная!H6-1)^2)/3)</f>
        <v>0.831179967073638</v>
      </c>
      <c r="F6" s="15" t="n">
        <f aca="false">SQRT(((Взвешенная!F6)^2+(Взвешенная!G6)^2+(Взвешенная!H6)^2)/3)</f>
        <v>0.192960524559195</v>
      </c>
      <c r="G6" s="15" t="n">
        <f aca="false">SQRT(((Взвешенная!I6-1)^2+(Взвешенная!J6-1)^2+(Взвешенная!K6-1)^2)/3)</f>
        <v>0.929653609018851</v>
      </c>
      <c r="H6" s="15" t="n">
        <f aca="false">SQRT(((Взвешенная!I6)^2+(Взвешенная!J6)^2+(Взвешенная!K6)^2)/3)</f>
        <v>0.0785456110084306</v>
      </c>
      <c r="I6" s="15" t="n">
        <f aca="false">SQRT(((Взвешенная!L6-1)^2+(Взвешенная!M6-1)^2+(Взвешенная!N6-1)^2)/3)</f>
        <v>0.665387971234358</v>
      </c>
      <c r="J6" s="15" t="n">
        <f aca="false">SQRT(((Взвешенная!L6)^2+(Взвешенная!M6)^2+(Взвешенная!N6)^2)/3)</f>
        <v>0.385573700074707</v>
      </c>
      <c r="K6" s="15" t="n">
        <f aca="false">SQRT(((Взвешенная!O6-1)^2+(Взвешенная!P6-1)^2+(Взвешенная!Q6-1)^2)/3)</f>
        <v>0.607790303886087</v>
      </c>
      <c r="L6" s="15" t="n">
        <f aca="false">SQRT(((Взвешенная!O6)^2+(Взвешенная!P6)^2+(Взвешенная!Q6)^2)/3)</f>
        <v>0.630521372870175</v>
      </c>
      <c r="M6" s="15" t="n">
        <f aca="false">SQRT(((Взвешенная!R6-1)^2+(Взвешенная!S6-1)^2+(Взвешенная!T6-1)^2)/3)</f>
        <v>0.929073674910788</v>
      </c>
      <c r="N6" s="15" t="n">
        <f aca="false">SQRT(((Взвешенная!R6)^2+(Взвешенная!S6)^2+(Взвешенная!T6)^2)/3)</f>
        <v>0.0876908086632879</v>
      </c>
      <c r="O6" s="16" t="n">
        <f aca="false">C6+E6+G6+I6+K6+M6</f>
        <v>4.50799462489702</v>
      </c>
      <c r="P6" s="16" t="n">
        <f aca="false">D6+F6+H6+J6+L6+N6</f>
        <v>1.94803719353003</v>
      </c>
    </row>
    <row r="7" customFormat="false" ht="15" hidden="false" customHeight="false" outlineLevel="0" collapsed="false">
      <c r="A7" s="7" t="s">
        <v>43</v>
      </c>
      <c r="B7" s="7" t="s">
        <v>44</v>
      </c>
      <c r="C7" s="15" t="n">
        <f aca="false">SQRT(((Взвешенная!C7-1)^2+(Взвешенная!D7-1)^2+(Взвешенная!E7-1)^2)/3)</f>
        <v>0.527881861081871</v>
      </c>
      <c r="D7" s="15" t="n">
        <f aca="false">SQRT(((Взвешенная!C7)^2+(Взвешенная!D7)^2+(Взвешенная!E7)^2)/3)</f>
        <v>0.560548673011376</v>
      </c>
      <c r="E7" s="15" t="n">
        <f aca="false">SQRT(((Взвешенная!F7-1)^2+(Взвешенная!G7-1)^2+(Взвешенная!H7-1)^2)/3)</f>
        <v>0.689135260603757</v>
      </c>
      <c r="F7" s="15" t="n">
        <f aca="false">SQRT(((Взвешенная!F7)^2+(Взвешенная!G7)^2+(Взвешенная!H7)^2)/3)</f>
        <v>0.418219329308686</v>
      </c>
      <c r="G7" s="15" t="n">
        <f aca="false">SQRT(((Взвешенная!I7-1)^2+(Взвешенная!J7-1)^2+(Взвешенная!K7-1)^2)/3)</f>
        <v>0.798624396024768</v>
      </c>
      <c r="H7" s="15" t="n">
        <f aca="false">SQRT(((Взвешенная!I7)^2+(Взвешенная!J7)^2+(Взвешенная!K7)^2)/3)</f>
        <v>0.276929259585936</v>
      </c>
      <c r="I7" s="15" t="n">
        <f aca="false">SQRT(((Взвешенная!L7-1)^2+(Взвешенная!M7-1)^2+(Взвешенная!N7-1)^2)/3)</f>
        <v>0.507207313885811</v>
      </c>
      <c r="J7" s="15" t="n">
        <f aca="false">SQRT(((Взвешенная!L7)^2+(Взвешенная!M7)^2+(Взвешенная!N7)^2)/3)</f>
        <v>0.617821741041624</v>
      </c>
      <c r="K7" s="15" t="n">
        <f aca="false">SQRT(((Взвешенная!O7-1)^2+(Взвешенная!P7-1)^2+(Взвешенная!Q7-1)^2)/3)</f>
        <v>0.6910244675949</v>
      </c>
      <c r="L7" s="15" t="n">
        <f aca="false">SQRT(((Взвешенная!O7)^2+(Взвешенная!P7)^2+(Взвешенная!Q7)^2)/3)</f>
        <v>0.399671161127541</v>
      </c>
      <c r="M7" s="15" t="n">
        <f aca="false">SQRT(((Взвешенная!R7-1)^2+(Взвешенная!S7-1)^2+(Взвешенная!T7-1)^2)/3)</f>
        <v>0.842880862369142</v>
      </c>
      <c r="N7" s="15" t="n">
        <f aca="false">SQRT(((Взвешенная!R7)^2+(Взвешенная!S7)^2+(Взвешенная!T7)^2)/3)</f>
        <v>0.214484740025261</v>
      </c>
      <c r="O7" s="16" t="n">
        <f aca="false">C7+E7+G7+I7+K7+M7</f>
        <v>4.05675416156025</v>
      </c>
      <c r="P7" s="16" t="n">
        <f aca="false">D7+F7+H7+J7+L7+N7</f>
        <v>2.48767490410043</v>
      </c>
    </row>
    <row r="8" customFormat="false" ht="15" hidden="false" customHeight="false" outlineLevel="0" collapsed="false">
      <c r="A8" s="7" t="s">
        <v>45</v>
      </c>
      <c r="B8" s="7" t="s">
        <v>46</v>
      </c>
      <c r="C8" s="15" t="n">
        <f aca="false">SQRT(((Взвешенная!C8-1)^2+(Взвешенная!D8-1)^2+(Взвешенная!E8-1)^2)/3)</f>
        <v>0.615710971154486</v>
      </c>
      <c r="D8" s="15" t="n">
        <f aca="false">SQRT(((Взвешенная!C8)^2+(Взвешенная!D8)^2+(Взвешенная!E8)^2)/3)</f>
        <v>0.488978527135906</v>
      </c>
      <c r="E8" s="15" t="n">
        <f aca="false">SQRT(((Взвешенная!F8-1)^2+(Взвешенная!G8-1)^2+(Взвешенная!H8-1)^2)/3)</f>
        <v>0.564387573687916</v>
      </c>
      <c r="F8" s="15" t="n">
        <f aca="false">SQRT(((Взвешенная!F8)^2+(Взвешенная!G8)^2+(Взвешенная!H8)^2)/3)</f>
        <v>0.652073615476044</v>
      </c>
      <c r="G8" s="15" t="n">
        <f aca="false">SQRT(((Взвешенная!I8-1)^2+(Взвешенная!J8-1)^2+(Взвешенная!K8-1)^2)/3)</f>
        <v>0.718796486100031</v>
      </c>
      <c r="H8" s="15" t="n">
        <f aca="false">SQRT(((Взвешенная!I8)^2+(Взвешенная!J8)^2+(Взвешенная!K8)^2)/3)</f>
        <v>0.530867124223442</v>
      </c>
      <c r="I8" s="15" t="n">
        <f aca="false">SQRT(((Взвешенная!L8-1)^2+(Взвешенная!M8-1)^2+(Взвешенная!N8-1)^2)/3)</f>
        <v>0.624072645344007</v>
      </c>
      <c r="J8" s="15" t="n">
        <f aca="false">SQRT(((Взвешенная!L8)^2+(Взвешенная!M8)^2+(Взвешенная!N8)^2)/3)</f>
        <v>0.479026791178392</v>
      </c>
      <c r="K8" s="15" t="n">
        <f aca="false">SQRT(((Взвешенная!O8-1)^2+(Взвешенная!P8-1)^2+(Взвешенная!Q8-1)^2)/3)</f>
        <v>0.611691643450086</v>
      </c>
      <c r="L8" s="15" t="n">
        <f aca="false">SQRT(((Взвешенная!O8)^2+(Взвешенная!P8)^2+(Взвешенная!Q8)^2)/3)</f>
        <v>0.523609269080167</v>
      </c>
      <c r="M8" s="15" t="n">
        <f aca="false">SQRT(((Взвешенная!R8-1)^2+(Взвешенная!S8-1)^2+(Взвешенная!T8-1)^2)/3)</f>
        <v>0.749135304003024</v>
      </c>
      <c r="N8" s="15" t="n">
        <f aca="false">SQRT(((Взвешенная!R8)^2+(Взвешенная!S8)^2+(Взвешенная!T8)^2)/3)</f>
        <v>0.415108196516059</v>
      </c>
      <c r="O8" s="16" t="n">
        <f aca="false">C8+E8+G8+I8+K8+M8</f>
        <v>3.88379462373955</v>
      </c>
      <c r="P8" s="16" t="n">
        <f aca="false">D8+F8+H8+J8+L8+N8</f>
        <v>3.08966352361001</v>
      </c>
    </row>
    <row r="9" customFormat="false" ht="15" hidden="false" customHeight="false" outlineLevel="0" collapsed="false">
      <c r="A9" s="7" t="s">
        <v>47</v>
      </c>
      <c r="B9" s="7" t="s">
        <v>48</v>
      </c>
      <c r="C9" s="15" t="n">
        <f aca="false">SQRT(((Взвешенная!C9-1)^2+(Взвешенная!D9-1)^2+(Взвешенная!E9-1)^2)/3)</f>
        <v>0.526814325292444</v>
      </c>
      <c r="D9" s="15" t="n">
        <f aca="false">SQRT(((Взвешенная!C9)^2+(Взвешенная!D9)^2+(Взвешенная!E9)^2)/3)</f>
        <v>0.608988231960739</v>
      </c>
      <c r="E9" s="15" t="n">
        <f aca="false">SQRT(((Взвешенная!F9-1)^2+(Взвешенная!G9-1)^2+(Взвешенная!H9-1)^2)/3)</f>
        <v>0.619151151293566</v>
      </c>
      <c r="F9" s="15" t="n">
        <f aca="false">SQRT(((Взвешенная!F9)^2+(Взвешенная!G9)^2+(Взвешенная!H9)^2)/3)</f>
        <v>0.615551544311038</v>
      </c>
      <c r="G9" s="15" t="n">
        <f aca="false">SQRT(((Взвешенная!I9-1)^2+(Взвешенная!J9-1)^2+(Взвешенная!K9-1)^2)/3)</f>
        <v>0.815668576284172</v>
      </c>
      <c r="H9" s="15" t="n">
        <f aca="false">SQRT(((Взвешенная!I9)^2+(Взвешенная!J9)^2+(Взвешенная!K9)^2)/3)</f>
        <v>0.214606540157073</v>
      </c>
      <c r="I9" s="15" t="n">
        <f aca="false">SQRT(((Взвешенная!L9-1)^2+(Взвешенная!M9-1)^2+(Взвешенная!N9-1)^2)/3)</f>
        <v>0.572437212399681</v>
      </c>
      <c r="J9" s="15" t="n">
        <f aca="false">SQRT(((Взвешенная!L9)^2+(Взвешенная!M9)^2+(Взвешенная!N9)^2)/3)</f>
        <v>0.514510834848941</v>
      </c>
      <c r="K9" s="15" t="n">
        <f aca="false">SQRT(((Взвешенная!O9-1)^2+(Взвешенная!P9-1)^2+(Взвешенная!Q9-1)^2)/3)</f>
        <v>0.726034383432304</v>
      </c>
      <c r="L9" s="15" t="n">
        <f aca="false">SQRT(((Взвешенная!O9)^2+(Взвешенная!P9)^2+(Взвешенная!Q9)^2)/3)</f>
        <v>0.38066219106145</v>
      </c>
      <c r="M9" s="15" t="n">
        <f aca="false">SQRT(((Взвешенная!R9-1)^2+(Взвешенная!S9-1)^2+(Взвешенная!T9-1)^2)/3)</f>
        <v>0.901660462681349</v>
      </c>
      <c r="N9" s="15" t="n">
        <f aca="false">SQRT(((Взвешенная!R9)^2+(Взвешенная!S9)^2+(Взвешенная!T9)^2)/3)</f>
        <v>0.115840150164329</v>
      </c>
      <c r="O9" s="16" t="n">
        <f aca="false">C9+E9+G9+I9+K9+M9</f>
        <v>4.16176611138352</v>
      </c>
      <c r="P9" s="16" t="n">
        <f aca="false">D9+F9+H9+J9+L9+N9</f>
        <v>2.45015949250357</v>
      </c>
    </row>
  </sheetData>
  <mergeCells count="6">
    <mergeCell ref="C3:D3"/>
    <mergeCell ref="E3:F3"/>
    <mergeCell ref="G3:H3"/>
    <mergeCell ref="I3:J3"/>
    <mergeCell ref="K3:L3"/>
    <mergeCell ref="M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.76"/>
    <col collapsed="false" customWidth="true" hidden="false" outlineLevel="0" max="2" min="2" style="1" width="46"/>
    <col collapsed="false" customWidth="true" hidden="false" outlineLevel="0" max="6" min="3" style="1" width="14"/>
  </cols>
  <sheetData>
    <row r="1" customFormat="false" ht="17.35" hidden="false" customHeight="false" outlineLevel="0" collapsed="false">
      <c r="A1" s="2" t="s">
        <v>86</v>
      </c>
    </row>
    <row r="3" customFormat="false" ht="15" hidden="false" customHeight="false" outlineLevel="0" collapsed="false">
      <c r="A3" s="6" t="s">
        <v>13</v>
      </c>
      <c r="B3" s="6" t="s">
        <v>76</v>
      </c>
      <c r="C3" s="6" t="s">
        <v>82</v>
      </c>
      <c r="D3" s="6" t="s">
        <v>83</v>
      </c>
      <c r="E3" s="6" t="s">
        <v>87</v>
      </c>
      <c r="F3" s="6" t="s">
        <v>88</v>
      </c>
    </row>
    <row r="4" customFormat="false" ht="15" hidden="false" customHeight="false" outlineLevel="0" collapsed="false">
      <c r="A4" s="7" t="s">
        <v>39</v>
      </c>
      <c r="B4" s="7" t="s">
        <v>40</v>
      </c>
      <c r="C4" s="17" t="n">
        <f aca="false">Расстояния!O5</f>
        <v>4.24781657354831</v>
      </c>
      <c r="D4" s="17" t="n">
        <f aca="false">Расстояния!P5</f>
        <v>2.29471113855349</v>
      </c>
      <c r="E4" s="18" t="n">
        <f aca="false">D4/(C4+D4)</f>
        <v>0.350737702541012</v>
      </c>
      <c r="F4" s="19" t="n">
        <f aca="false">RANK(E4,$E$4:$E$8)</f>
        <v>4</v>
      </c>
    </row>
    <row r="5" customFormat="false" ht="15" hidden="false" customHeight="false" outlineLevel="0" collapsed="false">
      <c r="A5" s="7" t="s">
        <v>41</v>
      </c>
      <c r="B5" s="7" t="s">
        <v>42</v>
      </c>
      <c r="C5" s="17" t="n">
        <f aca="false">Расстояния!O6</f>
        <v>4.50799462489702</v>
      </c>
      <c r="D5" s="17" t="n">
        <f aca="false">Расстояния!P6</f>
        <v>1.94803719353003</v>
      </c>
      <c r="E5" s="18" t="n">
        <f aca="false">D5/(C5+D5)</f>
        <v>0.301739094279224</v>
      </c>
      <c r="F5" s="19" t="n">
        <f aca="false">RANK(E5,$E$4:$E$8)</f>
        <v>5</v>
      </c>
    </row>
    <row r="6" customFormat="false" ht="15" hidden="false" customHeight="false" outlineLevel="0" collapsed="false">
      <c r="A6" s="7" t="s">
        <v>43</v>
      </c>
      <c r="B6" s="7" t="s">
        <v>44</v>
      </c>
      <c r="C6" s="17" t="n">
        <f aca="false">Расстояния!O7</f>
        <v>4.05675416156025</v>
      </c>
      <c r="D6" s="17" t="n">
        <f aca="false">Расстояния!P7</f>
        <v>2.48767490410043</v>
      </c>
      <c r="E6" s="18" t="n">
        <f aca="false">D6/(C6+D6)</f>
        <v>0.380120997437886</v>
      </c>
      <c r="F6" s="19" t="n">
        <f aca="false">RANK(E6,$E$4:$E$8)</f>
        <v>2</v>
      </c>
    </row>
    <row r="7" customFormat="false" ht="15" hidden="false" customHeight="false" outlineLevel="0" collapsed="false">
      <c r="A7" s="7" t="s">
        <v>45</v>
      </c>
      <c r="B7" s="7" t="s">
        <v>46</v>
      </c>
      <c r="C7" s="17" t="n">
        <f aca="false">Расстояния!O8</f>
        <v>3.88379462373955</v>
      </c>
      <c r="D7" s="17" t="n">
        <f aca="false">Расстояния!P8</f>
        <v>3.08966352361001</v>
      </c>
      <c r="E7" s="18" t="n">
        <f aca="false">D7/(C7+D7)</f>
        <v>0.44306045269438</v>
      </c>
      <c r="F7" s="19" t="n">
        <f aca="false">RANK(E7,$E$4:$E$8)</f>
        <v>1</v>
      </c>
    </row>
    <row r="8" customFormat="false" ht="15" hidden="false" customHeight="false" outlineLevel="0" collapsed="false">
      <c r="A8" s="7" t="s">
        <v>47</v>
      </c>
      <c r="B8" s="7" t="s">
        <v>48</v>
      </c>
      <c r="C8" s="17" t="n">
        <f aca="false">Расстояния!O9</f>
        <v>4.16176611138352</v>
      </c>
      <c r="D8" s="17" t="n">
        <f aca="false">Расстояния!P9</f>
        <v>2.45015949250357</v>
      </c>
      <c r="E8" s="18" t="n">
        <f aca="false">D8/(C8+D8)</f>
        <v>0.370566706174544</v>
      </c>
      <c r="F8" s="19" t="n">
        <f aca="false">RANK(E8,$E$4:$E$8)</f>
        <v>3</v>
      </c>
    </row>
    <row r="10" customFormat="false" ht="15" hidden="false" customHeight="false" outlineLevel="0" collapsed="false">
      <c r="B10" s="12" t="s">
        <v>89</v>
      </c>
      <c r="C10" s="20" t="str">
        <f aca="false">INDEX(B4:B8,MATCH(1,F4:F8,0))</f>
        <v>Бот уведомлений CI/CD</v>
      </c>
      <c r="D10" s="20"/>
      <c r="E10" s="20"/>
      <c r="F10" s="20"/>
    </row>
  </sheetData>
  <mergeCells count="1">
    <mergeCell ref="C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2026-10-13T10:48:41Z</dcterms:created>
  <dc:creator>openpyxl</dc:creator>
  <dc:description/>
  <dc:language>en-US</dc:language>
  <cp:lastModifiedBy/>
  <dcterms:modified xsi:type="dcterms:W3CDTF">2026-10-13T15:59:35Z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