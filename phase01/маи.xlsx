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Описание" sheetId="1" state="visible" r:id="rId3"/>
    <sheet name="Итог" sheetId="2" state="visible" r:id="rId4"/>
    <sheet name="Критерии" sheetId="3" state="visible" r:id="rId5"/>
    <sheet name="Альт_C1" sheetId="4" state="visible" r:id="rId6"/>
    <sheet name="Альт_C2" sheetId="5" state="visible" r:id="rId7"/>
    <sheet name="Альт_C3" sheetId="6" state="visible" r:id="rId8"/>
    <sheet name="Альт_C4" sheetId="7" state="visible" r:id="rId9"/>
    <sheet name="Альт_C5" sheetId="8" state="visible" r:id="rId10"/>
    <sheet name="Альт_C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<sst xmlns="http://schemas.openxmlformats.org/spreadsheetml/2006/main" count="621" uniqueCount="83">
  <si>
    <t xml:space="preserve">Фаза 1. Выбор концепции проекта: чёткий коллективный метод анализа иерархий (МАИ)</t>
  </si>
  <si>
    <t xml:space="preserve">Команда: Пашинский П., Колесникова А., Степаненко А.</t>
  </si>
  <si>
    <t xml:space="preserve">Легенда</t>
  </si>
  <si>
    <t xml:space="preserve">Синий шрифт — суждения экспертов (шкала Саати) и справочные константы; можно менять</t>
  </si>
  <si>
    <t xml:space="preserve">Чёрный шрифт — формулы. Зелёный шрифт — прямые ссылки на другие листы. Жёлтая заливка — полученные приоритеты (веса).</t>
  </si>
  <si>
    <t xml:space="preserve">Шкала Саати для парных сравнений</t>
  </si>
  <si>
    <t xml:space="preserve">1 — равноценны; 3 — умеренное превосходство; 5 — существенное; 7 — значительное; 9 — абсолютное; 2, 4, 6, 8 — промежуточные значения.</t>
  </si>
  <si>
    <t xml:space="preserve">Критерии</t>
  </si>
  <si>
    <t xml:space="preserve">Код</t>
  </si>
  <si>
    <t xml:space="preserve">Критерий</t>
  </si>
  <si>
    <t xml:space="preserve">Тип (B — выгода, C — затраты)</t>
  </si>
  <si>
    <t xml:space="preserve">C1</t>
  </si>
  <si>
    <t xml:space="preserve">Практическая польза</t>
  </si>
  <si>
    <t xml:space="preserve">B</t>
  </si>
  <si>
    <t xml:space="preserve">C2</t>
  </si>
  <si>
    <t xml:space="preserve">Сложность реализации</t>
  </si>
  <si>
    <t xml:space="preserve">C</t>
  </si>
  <si>
    <t xml:space="preserve">C3</t>
  </si>
  <si>
    <t xml:space="preserve">Технические риски</t>
  </si>
  <si>
    <t xml:space="preserve">C4</t>
  </si>
  <si>
    <t xml:space="preserve">Чёткость границ (10-15 юз-кейсов)</t>
  </si>
  <si>
    <t xml:space="preserve">C5</t>
  </si>
  <si>
    <t xml:space="preserve">Интерес команды</t>
  </si>
  <si>
    <t xml:space="preserve">C6</t>
  </si>
  <si>
    <t xml:space="preserve">Затраты на поддержку и инфраструктуру</t>
  </si>
  <si>
    <t xml:space="preserve">Альтернативы</t>
  </si>
  <si>
    <t xml:space="preserve">Название</t>
  </si>
  <si>
    <t xml:space="preserve">A1</t>
  </si>
  <si>
    <t xml:space="preserve">Дашборд мониторинга инфраструктуры</t>
  </si>
  <si>
    <t xml:space="preserve">A2</t>
  </si>
  <si>
    <t xml:space="preserve">Менеджер секретов и конфигов</t>
  </si>
  <si>
    <t xml:space="preserve">A3</t>
  </si>
  <si>
    <t xml:space="preserve">Трекер техдолга и задач</t>
  </si>
  <si>
    <t xml:space="preserve">A4</t>
  </si>
  <si>
    <t xml:space="preserve">Бот уведомлений CI/CD</t>
  </si>
  <si>
    <t xml:space="preserve">A5</t>
  </si>
  <si>
    <t xml:space="preserve">Каталог внутренней документации</t>
  </si>
  <si>
    <t xml:space="preserve">Итог МАИ: глобальные приоритеты альтернатив</t>
  </si>
  <si>
    <t xml:space="preserve">Глобальный приоритет</t>
  </si>
  <si>
    <t xml:space="preserve">Место</t>
  </si>
  <si>
    <t xml:space="preserve">Вес критерия (коллективный)</t>
  </si>
  <si>
    <t xml:space="preserve">A1 Дашборд мониторинга инфраструктуры</t>
  </si>
  <si>
    <t xml:space="preserve">A2 Менеджер секретов и конфигов</t>
  </si>
  <si>
    <t xml:space="preserve">A3 Трекер техдолга и задач</t>
  </si>
  <si>
    <t xml:space="preserve">A4 Бот уведомлений CI/CD</t>
  </si>
  <si>
    <t xml:space="preserve">A5 Каталог внутренней документации</t>
  </si>
  <si>
    <t xml:space="preserve">Победившая концепция по МАИ:</t>
  </si>
  <si>
    <t xml:space="preserve">Проверка согласованности (CR коллективных матриц, норма ≤ 0,10)</t>
  </si>
  <si>
    <t xml:space="preserve">Матрица</t>
  </si>
  <si>
    <t xml:space="preserve">CR</t>
  </si>
  <si>
    <t xml:space="preserve">Альтернативы по C1</t>
  </si>
  <si>
    <t xml:space="preserve">Альтернативы по C2</t>
  </si>
  <si>
    <t xml:space="preserve">Альтернативы по C3</t>
  </si>
  <si>
    <t xml:space="preserve">Альтернативы по C4</t>
  </si>
  <si>
    <t xml:space="preserve">Альтернативы по C5</t>
  </si>
  <si>
    <t xml:space="preserve">Альтернативы по C6</t>
  </si>
  <si>
    <t xml:space="preserve">Парные сравнения критериев (важность): эксперты и коллективная матрица</t>
  </si>
  <si>
    <t xml:space="preserve">Эксперт: Пашинский П.</t>
  </si>
  <si>
    <t xml:space="preserve">Геом. среднее строки</t>
  </si>
  <si>
    <t xml:space="preserve">Приоритет (вес)</t>
  </si>
  <si>
    <t xml:space="preserve">C1 Практическая польза</t>
  </si>
  <si>
    <t xml:space="preserve">C2 Сложность реализации</t>
  </si>
  <si>
    <t xml:space="preserve">C3 Технические риски</t>
  </si>
  <si>
    <t xml:space="preserve">C4 Чёткость границ (10-15 юз-кейсов)</t>
  </si>
  <si>
    <t xml:space="preserve">C5 Интерес команды</t>
  </si>
  <si>
    <t xml:space="preserve">C6 Затраты на поддержку и инфраструктуру</t>
  </si>
  <si>
    <t xml:space="preserve">Сумма столбца</t>
  </si>
  <si>
    <t xml:space="preserve">Приоритет (в строку)</t>
  </si>
  <si>
    <t xml:space="preserve">λmax = Σ(сумма столбца × приоритет)</t>
  </si>
  <si>
    <t xml:space="preserve">CI = (λmax − n) / (n − 1)</t>
  </si>
  <si>
    <t xml:space="preserve">RI (случайный индекс, таблица Саати)</t>
  </si>
  <si>
    <t xml:space="preserve">CR = CI / RI (норма: ≤ 0,10)</t>
  </si>
  <si>
    <t xml:space="preserve">Эксперт: Колесникова А.</t>
  </si>
  <si>
    <t xml:space="preserve">Эксперт: Степаненко А.</t>
  </si>
  <si>
    <t xml:space="preserve">Коллективная матрица (геометрическое среднее суждений экспертов)</t>
  </si>
  <si>
    <t xml:space="preserve">Парные сравнения альтернатив по критерию: C1 Практическая польза</t>
  </si>
  <si>
    <t xml:space="preserve">Критерий типа B: сравниваем, какая альтернатива лучше по этому критерию.</t>
  </si>
  <si>
    <t xml:space="preserve">Парные сравнения альтернатив по критерию: C2 Сложность реализации</t>
  </si>
  <si>
    <t xml:space="preserve">Критерий типа C: сравниваем, какая альтернатива лучше, то есть менее затратная / менее сложная / менее рискованная.</t>
  </si>
  <si>
    <t xml:space="preserve">Парные сравнения альтернатив по критерию: C3 Технические риски</t>
  </si>
  <si>
    <t xml:space="preserve">Парные сравнения альтернатив по критерию: C4 Чёткость границ (10-15 юз-кейсов)</t>
  </si>
  <si>
    <t xml:space="preserve">Парные сравнения альтернатив по критерию: C5 Интерес команды</t>
  </si>
  <si>
    <t xml:space="preserve">Парные сравнения альтернатив по критерию: C6 Затраты на поддержку и инфраструктуру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</si>
</sst>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# ?/?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6" t="s">
        <v>8</v>
      </c>
      <c r="B12" s="6" t="s">
        <v>9</v>
      </c>
      <c r="C12" s="6" t="s">
        <v>10</v>
      </c>
    </row>
    <row r="13" customFormat="false" ht="15" hidden="false" customHeight="false" outlineLevel="0" collapsed="false">
      <c r="A13" s="7" t="s">
        <v>11</v>
      </c>
      <c r="B13" s="7" t="s">
        <v>12</v>
      </c>
      <c r="C13" s="8" t="s">
        <v>13</v>
      </c>
    </row>
    <row r="14" customFormat="false" ht="15" hidden="false" customHeight="false" outlineLevel="0" collapsed="false">
      <c r="A14" s="7" t="s">
        <v>14</v>
      </c>
      <c r="B14" s="7" t="s">
        <v>15</v>
      </c>
      <c r="C14" s="8" t="s">
        <v>16</v>
      </c>
    </row>
    <row r="15" customFormat="false" ht="15" hidden="false" customHeight="false" outlineLevel="0" collapsed="false">
      <c r="A15" s="7" t="s">
        <v>17</v>
      </c>
      <c r="B15" s="7" t="s">
        <v>18</v>
      </c>
      <c r="C15" s="8" t="s">
        <v>16</v>
      </c>
    </row>
    <row r="16" customFormat="false" ht="15" hidden="false" customHeight="false" outlineLevel="0" collapsed="false">
      <c r="A16" s="7" t="s">
        <v>19</v>
      </c>
      <c r="B16" s="7" t="s">
        <v>20</v>
      </c>
      <c r="C16" s="8" t="s">
        <v>13</v>
      </c>
    </row>
    <row r="17" customFormat="false" ht="15" hidden="false" customHeight="false" outlineLevel="0" collapsed="false">
      <c r="A17" s="7" t="s">
        <v>21</v>
      </c>
      <c r="B17" s="7" t="s">
        <v>22</v>
      </c>
      <c r="C17" s="8" t="s">
        <v>13</v>
      </c>
    </row>
    <row r="18" customFormat="false" ht="15" hidden="false" customHeight="false" outlineLevel="0" collapsed="false">
      <c r="A18" s="7" t="s">
        <v>23</v>
      </c>
      <c r="B18" s="7" t="s">
        <v>24</v>
      </c>
      <c r="C18" s="8" t="s">
        <v>16</v>
      </c>
    </row>
    <row r="20" customFormat="false" ht="15" hidden="false" customHeight="false" outlineLevel="0" collapsed="false">
      <c r="A20" s="4" t="s">
        <v>25</v>
      </c>
    </row>
    <row r="21" customFormat="false" ht="15" hidden="false" customHeight="false" outlineLevel="0" collapsed="false">
      <c r="A21" s="6" t="s">
        <v>8</v>
      </c>
      <c r="B21" s="6" t="s">
        <v>26</v>
      </c>
    </row>
    <row r="22" customFormat="false" ht="15" hidden="false" customHeight="false" outlineLevel="0" collapsed="false">
      <c r="A22" s="7" t="s">
        <v>27</v>
      </c>
      <c r="B22" s="7" t="s">
        <v>28</v>
      </c>
    </row>
    <row r="23" customFormat="false" ht="15" hidden="false" customHeight="false" outlineLevel="0" collapsed="false">
      <c r="A23" s="7" t="s">
        <v>29</v>
      </c>
      <c r="B23" s="7" t="s">
        <v>30</v>
      </c>
    </row>
    <row r="24" customFormat="false" ht="15" hidden="false" customHeight="false" outlineLevel="0" collapsed="false">
      <c r="A24" s="7" t="s">
        <v>31</v>
      </c>
      <c r="B24" s="7" t="s">
        <v>32</v>
      </c>
    </row>
    <row r="25" customFormat="false" ht="15" hidden="false" customHeight="false" outlineLevel="0" collapsed="false">
      <c r="A25" s="7" t="s">
        <v>33</v>
      </c>
      <c r="B25" s="7" t="s">
        <v>34</v>
      </c>
    </row>
    <row r="26" customFormat="false" ht="15" hidden="false" customHeight="false" outlineLevel="0" collapsed="false">
      <c r="A26" s="7" t="s">
        <v>35</v>
      </c>
      <c r="B26" s="7" t="s">
        <v>36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2"/>
    <col collapsed="false" customWidth="true" hidden="false" outlineLevel="0" max="8" min="8" style="1" width="22"/>
    <col collapsed="false" customWidth="true" hidden="false" outlineLevel="0" max="9" min="9" style="1" width="12"/>
  </cols>
  <sheetData>
    <row r="1" customFormat="false" ht="17.35" hidden="false" customHeight="false" outlineLevel="0" collapsed="false">
      <c r="A1" s="2" t="s">
        <v>37</v>
      </c>
    </row>
    <row r="3" customFormat="false" ht="15" hidden="false" customHeight="false" outlineLevel="0" collapsed="false">
      <c r="A3" s="6"/>
      <c r="B3" s="6" t="s">
        <v>11</v>
      </c>
      <c r="C3" s="6" t="s">
        <v>14</v>
      </c>
      <c r="D3" s="6" t="s">
        <v>17</v>
      </c>
      <c r="E3" s="6" t="s">
        <v>19</v>
      </c>
      <c r="F3" s="6" t="s">
        <v>21</v>
      </c>
      <c r="G3" s="6" t="s">
        <v>23</v>
      </c>
      <c r="H3" s="6" t="s">
        <v>38</v>
      </c>
      <c r="I3" s="6" t="s">
        <v>39</v>
      </c>
    </row>
    <row r="4" customFormat="false" ht="15" hidden="false" customHeight="false" outlineLevel="0" collapsed="false">
      <c r="A4" s="9" t="s">
        <v>40</v>
      </c>
      <c r="B4" s="10" t="n">
        <f aca="false">Критерии!I53</f>
        <v>0.191218838390408</v>
      </c>
      <c r="C4" s="10" t="n">
        <f aca="false">Критерии!I54</f>
        <v>0.191218838390408</v>
      </c>
      <c r="D4" s="10" t="n">
        <f aca="false">Критерии!I55</f>
        <v>0.163921198618332</v>
      </c>
      <c r="E4" s="10" t="n">
        <f aca="false">Критерии!I56</f>
        <v>0.1703566180063</v>
      </c>
      <c r="F4" s="10" t="n">
        <f aca="false">Критерии!I57</f>
        <v>0.174237590795241</v>
      </c>
      <c r="G4" s="10" t="n">
        <f aca="false">Критерии!I58</f>
        <v>0.109046915799311</v>
      </c>
      <c r="H4" s="11" t="n">
        <f aca="false">SUM(B4:G4)</f>
        <v>1</v>
      </c>
      <c r="I4" s="7"/>
    </row>
    <row r="5" customFormat="false" ht="15" hidden="false" customHeight="false" outlineLevel="0" collapsed="false">
      <c r="A5" s="9" t="s">
        <v>41</v>
      </c>
      <c r="B5" s="12" t="n">
        <f aca="false">Альт_C1!H51</f>
        <v>0.22865083955565</v>
      </c>
      <c r="C5" s="12" t="n">
        <f aca="false">Альт_C2!H51</f>
        <v>0.138680597813672</v>
      </c>
      <c r="D5" s="12" t="n">
        <f aca="false">Альт_C3!H51</f>
        <v>0.16376089185644</v>
      </c>
      <c r="E5" s="12" t="n">
        <f aca="false">Альт_C4!H51</f>
        <v>0.18133639838676</v>
      </c>
      <c r="F5" s="12" t="n">
        <f aca="false">Альт_C5!H51</f>
        <v>0.279704172621058</v>
      </c>
      <c r="G5" s="12" t="n">
        <f aca="false">Альт_C6!H51</f>
        <v>0.135908217501178</v>
      </c>
      <c r="H5" s="13" t="n">
        <f aca="false">SUMPRODUCT($B$4:$G$4,B5:G5)</f>
        <v>0.191531781111722</v>
      </c>
      <c r="I5" s="14" t="n">
        <f aca="false">RANK(H5,$H$5:$H$9)</f>
        <v>4</v>
      </c>
    </row>
    <row r="6" customFormat="false" ht="15" hidden="false" customHeight="false" outlineLevel="0" collapsed="false">
      <c r="A6" s="9" t="s">
        <v>42</v>
      </c>
      <c r="B6" s="12" t="n">
        <f aca="false">Альт_C1!H52</f>
        <v>0.21832533437678</v>
      </c>
      <c r="C6" s="12" t="n">
        <f aca="false">Альт_C2!H52</f>
        <v>0.104278203050317</v>
      </c>
      <c r="D6" s="12" t="n">
        <f aca="false">Альт_C3!H52</f>
        <v>0.0988470647428329</v>
      </c>
      <c r="E6" s="12" t="n">
        <f aca="false">Альт_C4!H52</f>
        <v>0.173147537482952</v>
      </c>
      <c r="F6" s="12" t="n">
        <f aca="false">Альт_C5!H52</f>
        <v>0.222001348929281</v>
      </c>
      <c r="G6" s="12" t="n">
        <f aca="false">Альт_C6!H52</f>
        <v>0.115159640416899</v>
      </c>
      <c r="H6" s="13" t="n">
        <f aca="false">SUMPRODUCT($B$4:$G$4,B6:G6)</f>
        <v>0.158626615724462</v>
      </c>
      <c r="I6" s="14" t="n">
        <f aca="false">RANK(H6,$H$5:$H$9)</f>
        <v>5</v>
      </c>
    </row>
    <row r="7" customFormat="false" ht="15" hidden="false" customHeight="false" outlineLevel="0" collapsed="false">
      <c r="A7" s="9" t="s">
        <v>43</v>
      </c>
      <c r="B7" s="12" t="n">
        <f aca="false">Альт_C1!H53</f>
        <v>0.181480291622025</v>
      </c>
      <c r="C7" s="12" t="n">
        <f aca="false">Альт_C2!H53</f>
        <v>0.170066831204403</v>
      </c>
      <c r="D7" s="12" t="n">
        <f aca="false">Альт_C3!H53</f>
        <v>0.211979051233043</v>
      </c>
      <c r="E7" s="12" t="n">
        <f aca="false">Альт_C4!H53</f>
        <v>0.228469545439601</v>
      </c>
      <c r="F7" s="12" t="n">
        <f aca="false">Альт_C5!H53</f>
        <v>0.14646626805722</v>
      </c>
      <c r="G7" s="12" t="n">
        <f aca="false">Альт_C6!H53</f>
        <v>0.236629950604445</v>
      </c>
      <c r="H7" s="13" t="n">
        <f aca="false">SUMPRODUCT($B$4:$G$4,B7:G7)</f>
        <v>0.192215287683202</v>
      </c>
      <c r="I7" s="14" t="n">
        <f aca="false">RANK(H7,$H$5:$H$9)</f>
        <v>3</v>
      </c>
    </row>
    <row r="8" customFormat="false" ht="15" hidden="false" customHeight="false" outlineLevel="0" collapsed="false">
      <c r="A8" s="9" t="s">
        <v>44</v>
      </c>
      <c r="B8" s="12" t="n">
        <f aca="false">Альт_C1!H54</f>
        <v>0.181480291622025</v>
      </c>
      <c r="C8" s="12" t="n">
        <f aca="false">Альт_C2!H54</f>
        <v>0.345517422841735</v>
      </c>
      <c r="D8" s="12" t="n">
        <f aca="false">Альт_C3!H54</f>
        <v>0.243499987445228</v>
      </c>
      <c r="E8" s="12" t="n">
        <f aca="false">Альт_C4!H54</f>
        <v>0.198894291478454</v>
      </c>
      <c r="F8" s="12" t="n">
        <f aca="false">Альт_C5!H54</f>
        <v>0.211976124081911</v>
      </c>
      <c r="G8" s="12" t="n">
        <f aca="false">Альт_C6!H54</f>
        <v>0.306303854686045</v>
      </c>
      <c r="H8" s="13" t="n">
        <f aca="false">SUMPRODUCT($B$4:$G$4,B8:G8)</f>
        <v>0.244905359253858</v>
      </c>
      <c r="I8" s="14" t="n">
        <f aca="false">RANK(H8,$H$5:$H$9)</f>
        <v>1</v>
      </c>
    </row>
    <row r="9" customFormat="false" ht="15" hidden="false" customHeight="false" outlineLevel="0" collapsed="false">
      <c r="A9" s="9" t="s">
        <v>45</v>
      </c>
      <c r="B9" s="12" t="n">
        <f aca="false">Альт_C1!H55</f>
        <v>0.19006324282352</v>
      </c>
      <c r="C9" s="12" t="n">
        <f aca="false">Альт_C2!H55</f>
        <v>0.241456945089871</v>
      </c>
      <c r="D9" s="12" t="n">
        <f aca="false">Альт_C3!H55</f>
        <v>0.281913004722457</v>
      </c>
      <c r="E9" s="12" t="n">
        <f aca="false">Альт_C4!H55</f>
        <v>0.218152227212233</v>
      </c>
      <c r="F9" s="12" t="n">
        <f aca="false">Альт_C5!H55</f>
        <v>0.139852086310529</v>
      </c>
      <c r="G9" s="12" t="n">
        <f aca="false">Альт_C6!H55</f>
        <v>0.205998336791434</v>
      </c>
      <c r="H9" s="13" t="n">
        <f aca="false">SUMPRODUCT($B$4:$G$4,B9:G9)</f>
        <v>0.212720956226756</v>
      </c>
      <c r="I9" s="14" t="n">
        <f aca="false">RANK(H9,$H$5:$H$9)</f>
        <v>2</v>
      </c>
    </row>
    <row r="11" customFormat="false" ht="15" hidden="false" customHeight="false" outlineLevel="0" collapsed="false">
      <c r="A11" s="9" t="s">
        <v>46</v>
      </c>
      <c r="B11" s="15" t="str">
        <f aca="false">INDEX(A5:A9,MATCH(1,I5:I9,0))</f>
        <v>A4 Бот уведомлений CI/CD</v>
      </c>
      <c r="C11" s="15"/>
      <c r="D11" s="15"/>
      <c r="E11" s="15"/>
      <c r="F11" s="15"/>
      <c r="G11" s="15"/>
    </row>
    <row r="13" customFormat="false" ht="15" hidden="false" customHeight="false" outlineLevel="0" collapsed="false">
      <c r="A13" s="4" t="s">
        <v>47</v>
      </c>
    </row>
    <row r="14" customFormat="false" ht="15" hidden="false" customHeight="false" outlineLevel="0" collapsed="false">
      <c r="A14" s="6" t="s">
        <v>48</v>
      </c>
      <c r="B14" s="6" t="s">
        <v>49</v>
      </c>
    </row>
    <row r="15" customFormat="false" ht="15" hidden="false" customHeight="false" outlineLevel="0" collapsed="false">
      <c r="A15" s="7" t="s">
        <v>7</v>
      </c>
      <c r="B15" s="12" t="n">
        <f aca="false">Критерии!B64</f>
        <v>0.00598570810885023</v>
      </c>
    </row>
    <row r="16" customFormat="false" ht="15" hidden="false" customHeight="false" outlineLevel="0" collapsed="false">
      <c r="A16" s="7" t="s">
        <v>50</v>
      </c>
      <c r="B16" s="12" t="n">
        <f aca="false">Альт_C1!B61</f>
        <v>0.00372381090603847</v>
      </c>
    </row>
    <row r="17" customFormat="false" ht="15" hidden="false" customHeight="false" outlineLevel="0" collapsed="false">
      <c r="A17" s="7" t="s">
        <v>51</v>
      </c>
      <c r="B17" s="12" t="n">
        <f aca="false">Альт_C2!B61</f>
        <v>0.00699572465086027</v>
      </c>
    </row>
    <row r="18" customFormat="false" ht="15" hidden="false" customHeight="false" outlineLevel="0" collapsed="false">
      <c r="A18" s="7" t="s">
        <v>52</v>
      </c>
      <c r="B18" s="12" t="n">
        <f aca="false">Альт_C3!B61</f>
        <v>0.00477042868580528</v>
      </c>
    </row>
    <row r="19" customFormat="false" ht="15" hidden="false" customHeight="false" outlineLevel="0" collapsed="false">
      <c r="A19" s="7" t="s">
        <v>53</v>
      </c>
      <c r="B19" s="12" t="n">
        <f aca="false">Альт_C4!B61</f>
        <v>0.00430641793008533</v>
      </c>
    </row>
    <row r="20" customFormat="false" ht="15" hidden="false" customHeight="false" outlineLevel="0" collapsed="false">
      <c r="A20" s="7" t="s">
        <v>54</v>
      </c>
      <c r="B20" s="12" t="n">
        <f aca="false">Альт_C5!B61</f>
        <v>0.00132643399558917</v>
      </c>
    </row>
    <row r="21" customFormat="false" ht="15" hidden="false" customHeight="false" outlineLevel="0" collapsed="false">
      <c r="A21" s="7" t="s">
        <v>55</v>
      </c>
      <c r="B21" s="12" t="n">
        <f aca="false">Альт_C6!B61</f>
        <v>0.00559389174089597</v>
      </c>
    </row>
  </sheetData>
  <mergeCells count="1"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7" min="2" style="1" width="11"/>
    <col collapsed="false" customWidth="true" hidden="false" outlineLevel="0" max="9" min="8" style="1" width="14"/>
  </cols>
  <sheetData>
    <row r="1" customFormat="false" ht="17.35" hidden="false" customHeight="false" outlineLevel="0" collapsed="false">
      <c r="A1" s="2" t="s">
        <v>56</v>
      </c>
    </row>
    <row r="3" customFormat="false" ht="15" hidden="false" customHeight="false" outlineLevel="0" collapsed="false">
      <c r="A3" s="4" t="s">
        <v>57</v>
      </c>
    </row>
    <row r="4" customFormat="false" ht="23.85" hidden="false" customHeight="false" outlineLevel="0" collapsed="false">
      <c r="A4" s="6"/>
      <c r="B4" s="6" t="s">
        <v>11</v>
      </c>
      <c r="C4" s="6" t="s">
        <v>14</v>
      </c>
      <c r="D4" s="6" t="s">
        <v>17</v>
      </c>
      <c r="E4" s="6" t="s">
        <v>19</v>
      </c>
      <c r="F4" s="6" t="s">
        <v>21</v>
      </c>
      <c r="G4" s="6" t="s">
        <v>23</v>
      </c>
      <c r="H4" s="6" t="s">
        <v>58</v>
      </c>
      <c r="I4" s="6" t="s">
        <v>59</v>
      </c>
    </row>
    <row r="5" customFormat="false" ht="15" hidden="false" customHeight="false" outlineLevel="0" collapsed="false">
      <c r="A5" s="9" t="s">
        <v>60</v>
      </c>
      <c r="B5" s="16" t="n">
        <v>1</v>
      </c>
      <c r="C5" s="17" t="n">
        <v>1</v>
      </c>
      <c r="D5" s="17" t="n">
        <v>1</v>
      </c>
      <c r="E5" s="17" t="n">
        <v>2</v>
      </c>
      <c r="F5" s="17" t="n">
        <v>1</v>
      </c>
      <c r="G5" s="17" t="n">
        <v>2</v>
      </c>
      <c r="H5" s="11" t="n">
        <f aca="false">GEOMEAN(B5:G5)</f>
        <v>1.25992104989487</v>
      </c>
      <c r="I5" s="18" t="n">
        <f aca="false">H5/SUM(H$5:H$10)</f>
        <v>0.203593093937789</v>
      </c>
    </row>
    <row r="6" customFormat="false" ht="15" hidden="false" customHeight="false" outlineLevel="0" collapsed="false">
      <c r="A6" s="9" t="s">
        <v>61</v>
      </c>
      <c r="B6" s="16" t="n">
        <f aca="false">1/C5</f>
        <v>1</v>
      </c>
      <c r="C6" s="16" t="n">
        <v>1</v>
      </c>
      <c r="D6" s="17" t="n">
        <v>1</v>
      </c>
      <c r="E6" s="17" t="n">
        <v>1</v>
      </c>
      <c r="F6" s="17" t="n">
        <v>1</v>
      </c>
      <c r="G6" s="17" t="n">
        <v>2</v>
      </c>
      <c r="H6" s="11" t="n">
        <f aca="false">GEOMEAN(B6:G6)</f>
        <v>1.12246204830937</v>
      </c>
      <c r="I6" s="18" t="n">
        <f aca="false">H6/SUM(H$5:H$10)</f>
        <v>0.181380826411402</v>
      </c>
    </row>
    <row r="7" customFormat="false" ht="15" hidden="false" customHeight="false" outlineLevel="0" collapsed="false">
      <c r="A7" s="9" t="s">
        <v>62</v>
      </c>
      <c r="B7" s="16" t="n">
        <f aca="false">1/D5</f>
        <v>1</v>
      </c>
      <c r="C7" s="16" t="n">
        <f aca="false">1/D6</f>
        <v>1</v>
      </c>
      <c r="D7" s="16" t="n">
        <v>1</v>
      </c>
      <c r="E7" s="17" t="n">
        <v>2</v>
      </c>
      <c r="F7" s="17" t="n">
        <v>1</v>
      </c>
      <c r="G7" s="17" t="n">
        <v>2</v>
      </c>
      <c r="H7" s="11" t="n">
        <f aca="false">GEOMEAN(B7:G7)</f>
        <v>1.25992104989487</v>
      </c>
      <c r="I7" s="18" t="n">
        <f aca="false">H7/SUM(H$5:H$10)</f>
        <v>0.203593093937789</v>
      </c>
    </row>
    <row r="8" customFormat="false" ht="15" hidden="false" customHeight="false" outlineLevel="0" collapsed="false">
      <c r="A8" s="9" t="s">
        <v>63</v>
      </c>
      <c r="B8" s="16" t="n">
        <f aca="false">1/E5</f>
        <v>0.5</v>
      </c>
      <c r="C8" s="16" t="n">
        <f aca="false">1/E6</f>
        <v>1</v>
      </c>
      <c r="D8" s="16" t="n">
        <f aca="false">1/E7</f>
        <v>0.5</v>
      </c>
      <c r="E8" s="16" t="n">
        <v>1</v>
      </c>
      <c r="F8" s="17" t="n">
        <v>1</v>
      </c>
      <c r="G8" s="17" t="n">
        <v>1</v>
      </c>
      <c r="H8" s="11" t="n">
        <f aca="false">GEOMEAN(B8:G8)</f>
        <v>0.7937005259841</v>
      </c>
      <c r="I8" s="18" t="n">
        <f aca="false">H8/SUM(H$5:H$10)</f>
        <v>0.128255612332723</v>
      </c>
    </row>
    <row r="9" customFormat="false" ht="15" hidden="false" customHeight="false" outlineLevel="0" collapsed="false">
      <c r="A9" s="9" t="s">
        <v>64</v>
      </c>
      <c r="B9" s="16" t="n">
        <f aca="false">1/F5</f>
        <v>1</v>
      </c>
      <c r="C9" s="16" t="n">
        <f aca="false">1/F6</f>
        <v>1</v>
      </c>
      <c r="D9" s="16" t="n">
        <f aca="false">1/F7</f>
        <v>1</v>
      </c>
      <c r="E9" s="16" t="n">
        <f aca="false">1/F8</f>
        <v>1</v>
      </c>
      <c r="F9" s="16" t="n">
        <v>1</v>
      </c>
      <c r="G9" s="17" t="n">
        <v>2</v>
      </c>
      <c r="H9" s="11" t="n">
        <f aca="false">GEOMEAN(B9:G9)</f>
        <v>1.12246204830937</v>
      </c>
      <c r="I9" s="18" t="n">
        <f aca="false">H9/SUM(H$5:H$10)</f>
        <v>0.181380826411402</v>
      </c>
    </row>
    <row r="10" customFormat="false" ht="15" hidden="false" customHeight="false" outlineLevel="0" collapsed="false">
      <c r="A10" s="9" t="s">
        <v>65</v>
      </c>
      <c r="B10" s="16" t="n">
        <f aca="false">1/G5</f>
        <v>0.5</v>
      </c>
      <c r="C10" s="16" t="n">
        <f aca="false">1/G6</f>
        <v>0.5</v>
      </c>
      <c r="D10" s="16" t="n">
        <f aca="false">1/G7</f>
        <v>0.5</v>
      </c>
      <c r="E10" s="16" t="n">
        <f aca="false">1/G8</f>
        <v>1</v>
      </c>
      <c r="F10" s="16" t="n">
        <f aca="false">1/G9</f>
        <v>0.5</v>
      </c>
      <c r="G10" s="16" t="n">
        <v>1</v>
      </c>
      <c r="H10" s="11" t="n">
        <f aca="false">GEOMEAN(B10:G10)</f>
        <v>0.629960524947437</v>
      </c>
      <c r="I10" s="18" t="n">
        <f aca="false">H10/SUM(H$5:H$10)</f>
        <v>0.101796546968895</v>
      </c>
    </row>
    <row r="11" customFormat="false" ht="15" hidden="false" customHeight="false" outlineLevel="0" collapsed="false">
      <c r="A11" s="9" t="s">
        <v>66</v>
      </c>
      <c r="B11" s="11" t="n">
        <f aca="false">SUM(B5:B10)</f>
        <v>5</v>
      </c>
      <c r="C11" s="11" t="n">
        <f aca="false">SUM(C5:C10)</f>
        <v>5.5</v>
      </c>
      <c r="D11" s="11" t="n">
        <f aca="false">SUM(D5:D10)</f>
        <v>5</v>
      </c>
      <c r="E11" s="11" t="n">
        <f aca="false">SUM(E5:E10)</f>
        <v>8</v>
      </c>
      <c r="F11" s="11" t="n">
        <f aca="false">SUM(F5:F10)</f>
        <v>5.5</v>
      </c>
      <c r="G11" s="11" t="n">
        <f aca="false">SUM(G5:G10)</f>
        <v>10</v>
      </c>
    </row>
    <row r="12" customFormat="false" ht="15" hidden="false" customHeight="false" outlineLevel="0" collapsed="false">
      <c r="A12" s="9" t="s">
        <v>67</v>
      </c>
      <c r="B12" s="11" t="n">
        <f aca="false">I5</f>
        <v>0.203593093937789</v>
      </c>
      <c r="C12" s="11" t="n">
        <f aca="false">I6</f>
        <v>0.181380826411402</v>
      </c>
      <c r="D12" s="11" t="n">
        <f aca="false">I7</f>
        <v>0.203593093937789</v>
      </c>
      <c r="E12" s="11" t="n">
        <f aca="false">I8</f>
        <v>0.128255612332723</v>
      </c>
      <c r="F12" s="11" t="n">
        <f aca="false">I9</f>
        <v>0.181380826411402</v>
      </c>
      <c r="G12" s="11" t="n">
        <f aca="false">I10</f>
        <v>0.101796546968895</v>
      </c>
    </row>
    <row r="13" customFormat="false" ht="15" hidden="false" customHeight="false" outlineLevel="0" collapsed="false">
      <c r="A13" s="9" t="s">
        <v>68</v>
      </c>
      <c r="B13" s="11" t="n">
        <f aca="false">SUMPRODUCT(B11:G11,B12:G12)</f>
        <v>6.07513039825404</v>
      </c>
    </row>
    <row r="14" customFormat="false" ht="15" hidden="false" customHeight="false" outlineLevel="0" collapsed="false">
      <c r="A14" s="9" t="s">
        <v>69</v>
      </c>
      <c r="B14" s="11" t="n">
        <f aca="false">(B13-6)/(6-1)</f>
        <v>0.0150260796508086</v>
      </c>
    </row>
    <row r="15" customFormat="false" ht="15" hidden="false" customHeight="false" outlineLevel="0" collapsed="false">
      <c r="A15" s="9" t="s">
        <v>70</v>
      </c>
      <c r="B15" s="19" t="n">
        <v>1.24</v>
      </c>
    </row>
    <row r="16" customFormat="false" ht="15" hidden="false" customHeight="false" outlineLevel="0" collapsed="false">
      <c r="A16" s="9" t="s">
        <v>71</v>
      </c>
      <c r="B16" s="20" t="n">
        <f aca="false">B14/B15</f>
        <v>0.0121178061700069</v>
      </c>
    </row>
    <row r="19" customFormat="false" ht="15" hidden="false" customHeight="false" outlineLevel="0" collapsed="false">
      <c r="A19" s="4" t="s">
        <v>72</v>
      </c>
    </row>
    <row r="20" customFormat="false" ht="23.85" hidden="false" customHeight="false" outlineLevel="0" collapsed="false">
      <c r="A20" s="6"/>
      <c r="B20" s="6" t="s">
        <v>11</v>
      </c>
      <c r="C20" s="6" t="s">
        <v>14</v>
      </c>
      <c r="D20" s="6" t="s">
        <v>17</v>
      </c>
      <c r="E20" s="6" t="s">
        <v>19</v>
      </c>
      <c r="F20" s="6" t="s">
        <v>21</v>
      </c>
      <c r="G20" s="6" t="s">
        <v>23</v>
      </c>
      <c r="H20" s="6" t="s">
        <v>58</v>
      </c>
      <c r="I20" s="6" t="s">
        <v>59</v>
      </c>
    </row>
    <row r="21" customFormat="false" ht="15" hidden="false" customHeight="false" outlineLevel="0" collapsed="false">
      <c r="A21" s="9" t="s">
        <v>60</v>
      </c>
      <c r="B21" s="16" t="n">
        <v>1</v>
      </c>
      <c r="C21" s="17" t="n">
        <v>1</v>
      </c>
      <c r="D21" s="17" t="n">
        <v>2</v>
      </c>
      <c r="E21" s="17" t="n">
        <v>1</v>
      </c>
      <c r="F21" s="17" t="n">
        <v>1</v>
      </c>
      <c r="G21" s="17" t="n">
        <v>2</v>
      </c>
      <c r="H21" s="11" t="n">
        <f aca="false">GEOMEAN(B21:G21)</f>
        <v>1.25992104989487</v>
      </c>
      <c r="I21" s="18" t="n">
        <f aca="false">H21/SUM(H$21:H$26)</f>
        <v>0.197583004431467</v>
      </c>
    </row>
    <row r="22" customFormat="false" ht="15" hidden="false" customHeight="false" outlineLevel="0" collapsed="false">
      <c r="A22" s="9" t="s">
        <v>61</v>
      </c>
      <c r="B22" s="16" t="n">
        <f aca="false">1/C21</f>
        <v>1</v>
      </c>
      <c r="C22" s="16" t="n">
        <v>1</v>
      </c>
      <c r="D22" s="17" t="n">
        <v>1</v>
      </c>
      <c r="E22" s="17" t="n">
        <v>1</v>
      </c>
      <c r="F22" s="17" t="n">
        <f aca="false">1/2</f>
        <v>0.5</v>
      </c>
      <c r="G22" s="17" t="n">
        <v>2</v>
      </c>
      <c r="H22" s="11" t="n">
        <f aca="false">GEOMEAN(B22:G22)</f>
        <v>1</v>
      </c>
      <c r="I22" s="18" t="n">
        <f aca="false">H22/SUM(H$21:H$26)</f>
        <v>0.156821734542774</v>
      </c>
    </row>
    <row r="23" customFormat="false" ht="15" hidden="false" customHeight="false" outlineLevel="0" collapsed="false">
      <c r="A23" s="9" t="s">
        <v>62</v>
      </c>
      <c r="B23" s="16" t="n">
        <f aca="false">1/D21</f>
        <v>0.5</v>
      </c>
      <c r="C23" s="16" t="n">
        <f aca="false">1/D22</f>
        <v>1</v>
      </c>
      <c r="D23" s="16" t="n">
        <v>1</v>
      </c>
      <c r="E23" s="17" t="n">
        <f aca="false">1/2</f>
        <v>0.5</v>
      </c>
      <c r="F23" s="17" t="n">
        <f aca="false">1/2</f>
        <v>0.5</v>
      </c>
      <c r="G23" s="17" t="n">
        <v>1</v>
      </c>
      <c r="H23" s="11" t="n">
        <f aca="false">GEOMEAN(B23:G23)</f>
        <v>0.707106781186548</v>
      </c>
      <c r="I23" s="18" t="n">
        <f aca="false">H23/SUM(H$21:H$26)</f>
        <v>0.110889711932632</v>
      </c>
    </row>
    <row r="24" customFormat="false" ht="15" hidden="false" customHeight="false" outlineLevel="0" collapsed="false">
      <c r="A24" s="9" t="s">
        <v>63</v>
      </c>
      <c r="B24" s="16" t="n">
        <f aca="false">1/E21</f>
        <v>1</v>
      </c>
      <c r="C24" s="16" t="n">
        <f aca="false">1/E22</f>
        <v>1</v>
      </c>
      <c r="D24" s="16" t="n">
        <f aca="false">1/E23</f>
        <v>2</v>
      </c>
      <c r="E24" s="16" t="n">
        <v>1</v>
      </c>
      <c r="F24" s="17" t="n">
        <f aca="false">1/2</f>
        <v>0.5</v>
      </c>
      <c r="G24" s="17" t="n">
        <v>2</v>
      </c>
      <c r="H24" s="11" t="n">
        <f aca="false">GEOMEAN(B24:G24)</f>
        <v>1.12246204830937</v>
      </c>
      <c r="I24" s="18" t="n">
        <f aca="false">H24/SUM(H$21:H$26)</f>
        <v>0.176026445374311</v>
      </c>
    </row>
    <row r="25" customFormat="false" ht="15" hidden="false" customHeight="false" outlineLevel="0" collapsed="false">
      <c r="A25" s="9" t="s">
        <v>64</v>
      </c>
      <c r="B25" s="16" t="n">
        <f aca="false">1/F21</f>
        <v>1</v>
      </c>
      <c r="C25" s="16" t="n">
        <f aca="false">1/F22</f>
        <v>2</v>
      </c>
      <c r="D25" s="16" t="n">
        <f aca="false">1/F23</f>
        <v>2</v>
      </c>
      <c r="E25" s="16" t="n">
        <f aca="false">1/F24</f>
        <v>2</v>
      </c>
      <c r="F25" s="16" t="n">
        <v>1</v>
      </c>
      <c r="G25" s="17" t="n">
        <v>3</v>
      </c>
      <c r="H25" s="11" t="n">
        <f aca="false">GEOMEAN(B25:G25)</f>
        <v>1.69838132956495</v>
      </c>
      <c r="I25" s="18" t="n">
        <f aca="false">H25/SUM(H$21:H$26)</f>
        <v>0.266343106017438</v>
      </c>
    </row>
    <row r="26" customFormat="false" ht="15" hidden="false" customHeight="false" outlineLevel="0" collapsed="false">
      <c r="A26" s="9" t="s">
        <v>65</v>
      </c>
      <c r="B26" s="16" t="n">
        <f aca="false">1/G21</f>
        <v>0.5</v>
      </c>
      <c r="C26" s="16" t="n">
        <f aca="false">1/G22</f>
        <v>0.5</v>
      </c>
      <c r="D26" s="16" t="n">
        <f aca="false">1/G23</f>
        <v>1</v>
      </c>
      <c r="E26" s="16" t="n">
        <f aca="false">1/G24</f>
        <v>0.5</v>
      </c>
      <c r="F26" s="16" t="n">
        <f aca="false">1/G25</f>
        <v>0.333333333333333</v>
      </c>
      <c r="G26" s="16" t="n">
        <v>1</v>
      </c>
      <c r="H26" s="11" t="n">
        <f aca="false">GEOMEAN(B26:G26)</f>
        <v>0.588795921500241</v>
      </c>
      <c r="I26" s="18" t="n">
        <f aca="false">H26/SUM(H$21:H$26)</f>
        <v>0.0923359977013786</v>
      </c>
    </row>
    <row r="27" customFormat="false" ht="15" hidden="false" customHeight="false" outlineLevel="0" collapsed="false">
      <c r="A27" s="9" t="s">
        <v>66</v>
      </c>
      <c r="B27" s="11" t="n">
        <f aca="false">SUM(B21:B26)</f>
        <v>5</v>
      </c>
      <c r="C27" s="11" t="n">
        <f aca="false">SUM(C21:C26)</f>
        <v>6.5</v>
      </c>
      <c r="D27" s="11" t="n">
        <f aca="false">SUM(D21:D26)</f>
        <v>9</v>
      </c>
      <c r="E27" s="11" t="n">
        <f aca="false">SUM(E21:E26)</f>
        <v>6</v>
      </c>
      <c r="F27" s="11" t="n">
        <f aca="false">SUM(F21:F26)</f>
        <v>3.83333333333333</v>
      </c>
      <c r="G27" s="11" t="n">
        <f aca="false">SUM(G21:G26)</f>
        <v>11</v>
      </c>
    </row>
    <row r="28" customFormat="false" ht="15" hidden="false" customHeight="false" outlineLevel="0" collapsed="false">
      <c r="A28" s="9" t="s">
        <v>67</v>
      </c>
      <c r="B28" s="11" t="n">
        <f aca="false">I21</f>
        <v>0.197583004431467</v>
      </c>
      <c r="C28" s="11" t="n">
        <f aca="false">I22</f>
        <v>0.156821734542774</v>
      </c>
      <c r="D28" s="11" t="n">
        <f aca="false">I23</f>
        <v>0.110889711932632</v>
      </c>
      <c r="E28" s="11" t="n">
        <f aca="false">I24</f>
        <v>0.176026445374311</v>
      </c>
      <c r="F28" s="11" t="n">
        <f aca="false">I25</f>
        <v>0.266343106017438</v>
      </c>
      <c r="G28" s="11" t="n">
        <f aca="false">I26</f>
        <v>0.0923359977013786</v>
      </c>
    </row>
    <row r="29" customFormat="false" ht="15" hidden="false" customHeight="false" outlineLevel="0" collapsed="false">
      <c r="A29" s="9" t="s">
        <v>68</v>
      </c>
      <c r="B29" s="11" t="n">
        <f aca="false">SUMPRODUCT(B27:G27,B28:G28)</f>
        <v>6.09810025744026</v>
      </c>
    </row>
    <row r="30" customFormat="false" ht="15" hidden="false" customHeight="false" outlineLevel="0" collapsed="false">
      <c r="A30" s="9" t="s">
        <v>69</v>
      </c>
      <c r="B30" s="11" t="n">
        <f aca="false">(B29-6)/(6-1)</f>
        <v>0.0196200514880518</v>
      </c>
    </row>
    <row r="31" customFormat="false" ht="15" hidden="false" customHeight="false" outlineLevel="0" collapsed="false">
      <c r="A31" s="9" t="s">
        <v>70</v>
      </c>
      <c r="B31" s="19" t="n">
        <v>1.24</v>
      </c>
    </row>
    <row r="32" customFormat="false" ht="15" hidden="false" customHeight="false" outlineLevel="0" collapsed="false">
      <c r="A32" s="9" t="s">
        <v>71</v>
      </c>
      <c r="B32" s="20" t="n">
        <f aca="false">B30/B31</f>
        <v>0.0158226221677837</v>
      </c>
    </row>
    <row r="35" customFormat="false" ht="15" hidden="false" customHeight="false" outlineLevel="0" collapsed="false">
      <c r="A35" s="4" t="s">
        <v>73</v>
      </c>
    </row>
    <row r="36" customFormat="false" ht="23.85" hidden="false" customHeight="false" outlineLevel="0" collapsed="false">
      <c r="A36" s="6"/>
      <c r="B36" s="6" t="s">
        <v>11</v>
      </c>
      <c r="C36" s="6" t="s">
        <v>14</v>
      </c>
      <c r="D36" s="6" t="s">
        <v>17</v>
      </c>
      <c r="E36" s="6" t="s">
        <v>19</v>
      </c>
      <c r="F36" s="6" t="s">
        <v>21</v>
      </c>
      <c r="G36" s="6" t="s">
        <v>23</v>
      </c>
      <c r="H36" s="6" t="s">
        <v>58</v>
      </c>
      <c r="I36" s="6" t="s">
        <v>59</v>
      </c>
    </row>
    <row r="37" customFormat="false" ht="15" hidden="false" customHeight="false" outlineLevel="0" collapsed="false">
      <c r="A37" s="9" t="s">
        <v>60</v>
      </c>
      <c r="B37" s="16" t="n">
        <v>1</v>
      </c>
      <c r="C37" s="17" t="n">
        <f aca="false">1/2</f>
        <v>0.5</v>
      </c>
      <c r="D37" s="17" t="n">
        <v>1</v>
      </c>
      <c r="E37" s="17" t="n">
        <v>1</v>
      </c>
      <c r="F37" s="17" t="n">
        <v>2</v>
      </c>
      <c r="G37" s="17" t="n">
        <v>1</v>
      </c>
      <c r="H37" s="11" t="n">
        <f aca="false">GEOMEAN(B37:G37)</f>
        <v>1</v>
      </c>
      <c r="I37" s="18" t="n">
        <f aca="false">H37/SUM(H$37:H$42)</f>
        <v>0.160765043247288</v>
      </c>
    </row>
    <row r="38" customFormat="false" ht="15" hidden="false" customHeight="false" outlineLevel="0" collapsed="false">
      <c r="A38" s="9" t="s">
        <v>61</v>
      </c>
      <c r="B38" s="16" t="n">
        <f aca="false">1/C37</f>
        <v>2</v>
      </c>
      <c r="C38" s="16" t="n">
        <v>1</v>
      </c>
      <c r="D38" s="17" t="n">
        <v>1</v>
      </c>
      <c r="E38" s="17" t="n">
        <v>1</v>
      </c>
      <c r="F38" s="17" t="n">
        <v>2</v>
      </c>
      <c r="G38" s="17" t="n">
        <v>2</v>
      </c>
      <c r="H38" s="11" t="n">
        <f aca="false">GEOMEAN(B38:G38)</f>
        <v>1.4142135623731</v>
      </c>
      <c r="I38" s="18" t="n">
        <f aca="false">H38/SUM(H$37:H$42)</f>
        <v>0.227356104515812</v>
      </c>
    </row>
    <row r="39" customFormat="false" ht="15" hidden="false" customHeight="false" outlineLevel="0" collapsed="false">
      <c r="A39" s="9" t="s">
        <v>62</v>
      </c>
      <c r="B39" s="16" t="n">
        <f aca="false">1/D37</f>
        <v>1</v>
      </c>
      <c r="C39" s="16" t="n">
        <f aca="false">1/D38</f>
        <v>1</v>
      </c>
      <c r="D39" s="16" t="n">
        <v>1</v>
      </c>
      <c r="E39" s="17" t="n">
        <v>1</v>
      </c>
      <c r="F39" s="17" t="n">
        <v>2</v>
      </c>
      <c r="G39" s="17" t="n">
        <v>1</v>
      </c>
      <c r="H39" s="11" t="n">
        <f aca="false">GEOMEAN(B39:G39)</f>
        <v>1.12246204830937</v>
      </c>
      <c r="I39" s="18" t="n">
        <f aca="false">H39/SUM(H$37:H$42)</f>
        <v>0.180452659739896</v>
      </c>
    </row>
    <row r="40" customFormat="false" ht="15" hidden="false" customHeight="false" outlineLevel="0" collapsed="false">
      <c r="A40" s="9" t="s">
        <v>63</v>
      </c>
      <c r="B40" s="16" t="n">
        <f aca="false">1/E37</f>
        <v>1</v>
      </c>
      <c r="C40" s="16" t="n">
        <f aca="false">1/E38</f>
        <v>1</v>
      </c>
      <c r="D40" s="16" t="n">
        <f aca="false">1/E39</f>
        <v>1</v>
      </c>
      <c r="E40" s="16" t="n">
        <v>1</v>
      </c>
      <c r="F40" s="17" t="n">
        <v>2</v>
      </c>
      <c r="G40" s="17" t="n">
        <v>2</v>
      </c>
      <c r="H40" s="11" t="n">
        <f aca="false">GEOMEAN(B40:G40)</f>
        <v>1.25992104989487</v>
      </c>
      <c r="I40" s="18" t="n">
        <f aca="false">H40/SUM(H$37:H$42)</f>
        <v>0.202551262074518</v>
      </c>
    </row>
    <row r="41" customFormat="false" ht="15" hidden="false" customHeight="false" outlineLevel="0" collapsed="false">
      <c r="A41" s="9" t="s">
        <v>64</v>
      </c>
      <c r="B41" s="16" t="n">
        <f aca="false">1/F37</f>
        <v>0.5</v>
      </c>
      <c r="C41" s="16" t="n">
        <f aca="false">1/F38</f>
        <v>0.5</v>
      </c>
      <c r="D41" s="16" t="n">
        <f aca="false">1/F39</f>
        <v>0.5</v>
      </c>
      <c r="E41" s="16" t="n">
        <f aca="false">1/F40</f>
        <v>0.5</v>
      </c>
      <c r="F41" s="16" t="n">
        <v>1</v>
      </c>
      <c r="G41" s="17" t="n">
        <v>1</v>
      </c>
      <c r="H41" s="11" t="n">
        <f aca="false">GEOMEAN(B41:G41)</f>
        <v>0.629960524947437</v>
      </c>
      <c r="I41" s="18" t="n">
        <f aca="false">H41/SUM(H$37:H$42)</f>
        <v>0.101275631037259</v>
      </c>
    </row>
    <row r="42" customFormat="false" ht="15" hidden="false" customHeight="false" outlineLevel="0" collapsed="false">
      <c r="A42" s="9" t="s">
        <v>65</v>
      </c>
      <c r="B42" s="16" t="n">
        <f aca="false">1/G37</f>
        <v>1</v>
      </c>
      <c r="C42" s="16" t="n">
        <f aca="false">1/G38</f>
        <v>0.5</v>
      </c>
      <c r="D42" s="16" t="n">
        <f aca="false">1/G39</f>
        <v>1</v>
      </c>
      <c r="E42" s="16" t="n">
        <f aca="false">1/G40</f>
        <v>0.5</v>
      </c>
      <c r="F42" s="16" t="n">
        <f aca="false">1/G41</f>
        <v>1</v>
      </c>
      <c r="G42" s="16" t="n">
        <v>1</v>
      </c>
      <c r="H42" s="11" t="n">
        <f aca="false">GEOMEAN(B42:G42)</f>
        <v>0.7937005259841</v>
      </c>
      <c r="I42" s="18" t="n">
        <f aca="false">H42/SUM(H$37:H$42)</f>
        <v>0.127599299385229</v>
      </c>
    </row>
    <row r="43" customFormat="false" ht="15" hidden="false" customHeight="false" outlineLevel="0" collapsed="false">
      <c r="A43" s="9" t="s">
        <v>66</v>
      </c>
      <c r="B43" s="11" t="n">
        <f aca="false">SUM(B37:B42)</f>
        <v>6.5</v>
      </c>
      <c r="C43" s="11" t="n">
        <f aca="false">SUM(C37:C42)</f>
        <v>4.5</v>
      </c>
      <c r="D43" s="11" t="n">
        <f aca="false">SUM(D37:D42)</f>
        <v>5.5</v>
      </c>
      <c r="E43" s="11" t="n">
        <f aca="false">SUM(E37:E42)</f>
        <v>5</v>
      </c>
      <c r="F43" s="11" t="n">
        <f aca="false">SUM(F37:F42)</f>
        <v>10</v>
      </c>
      <c r="G43" s="11" t="n">
        <f aca="false">SUM(G37:G42)</f>
        <v>8</v>
      </c>
    </row>
    <row r="44" customFormat="false" ht="15" hidden="false" customHeight="false" outlineLevel="0" collapsed="false">
      <c r="A44" s="9" t="s">
        <v>67</v>
      </c>
      <c r="B44" s="11" t="n">
        <f aca="false">I37</f>
        <v>0.160765043247288</v>
      </c>
      <c r="C44" s="11" t="n">
        <f aca="false">I38</f>
        <v>0.227356104515812</v>
      </c>
      <c r="D44" s="11" t="n">
        <f aca="false">I39</f>
        <v>0.180452659739896</v>
      </c>
      <c r="E44" s="11" t="n">
        <f aca="false">I40</f>
        <v>0.202551262074518</v>
      </c>
      <c r="F44" s="11" t="n">
        <f aca="false">I41</f>
        <v>0.101275631037259</v>
      </c>
      <c r="G44" s="11" t="n">
        <f aca="false">I42</f>
        <v>0.127599299385229</v>
      </c>
    </row>
    <row r="45" customFormat="false" ht="15" hidden="false" customHeight="false" outlineLevel="0" collapsed="false">
      <c r="A45" s="9" t="s">
        <v>68</v>
      </c>
      <c r="B45" s="11" t="n">
        <f aca="false">SUMPRODUCT(B43:G43,B44:G44)</f>
        <v>6.10687189582495</v>
      </c>
    </row>
    <row r="46" customFormat="false" ht="15" hidden="false" customHeight="false" outlineLevel="0" collapsed="false">
      <c r="A46" s="9" t="s">
        <v>69</v>
      </c>
      <c r="B46" s="11" t="n">
        <f aca="false">(B45-6)/(6-1)</f>
        <v>0.0213743791649907</v>
      </c>
    </row>
    <row r="47" customFormat="false" ht="15" hidden="false" customHeight="false" outlineLevel="0" collapsed="false">
      <c r="A47" s="9" t="s">
        <v>70</v>
      </c>
      <c r="B47" s="19" t="n">
        <v>1.24</v>
      </c>
    </row>
    <row r="48" customFormat="false" ht="15" hidden="false" customHeight="false" outlineLevel="0" collapsed="false">
      <c r="A48" s="9" t="s">
        <v>71</v>
      </c>
      <c r="B48" s="20" t="n">
        <f aca="false">B46/B47</f>
        <v>0.0172374025524119</v>
      </c>
    </row>
    <row r="51" customFormat="false" ht="15" hidden="false" customHeight="false" outlineLevel="0" collapsed="false">
      <c r="A51" s="4" t="s">
        <v>74</v>
      </c>
    </row>
    <row r="52" customFormat="false" ht="23.85" hidden="false" customHeight="false" outlineLevel="0" collapsed="false">
      <c r="A52" s="6"/>
      <c r="B52" s="6" t="s">
        <v>11</v>
      </c>
      <c r="C52" s="6" t="s">
        <v>14</v>
      </c>
      <c r="D52" s="6" t="s">
        <v>17</v>
      </c>
      <c r="E52" s="6" t="s">
        <v>19</v>
      </c>
      <c r="F52" s="6" t="s">
        <v>21</v>
      </c>
      <c r="G52" s="6" t="s">
        <v>23</v>
      </c>
      <c r="H52" s="6" t="s">
        <v>58</v>
      </c>
      <c r="I52" s="6" t="s">
        <v>59</v>
      </c>
    </row>
    <row r="53" customFormat="false" ht="15" hidden="false" customHeight="false" outlineLevel="0" collapsed="false">
      <c r="A53" s="9" t="s">
        <v>60</v>
      </c>
      <c r="B53" s="11" t="n">
        <f aca="false">GEOMEAN(B5,B21,B37)</f>
        <v>1</v>
      </c>
      <c r="C53" s="11" t="n">
        <f aca="false">GEOMEAN(C5,C21,C37)</f>
        <v>0.7937005259841</v>
      </c>
      <c r="D53" s="11" t="n">
        <f aca="false">GEOMEAN(D5,D21,D37)</f>
        <v>1.25992104989487</v>
      </c>
      <c r="E53" s="11" t="n">
        <f aca="false">GEOMEAN(E5,E21,E37)</f>
        <v>1.25992104989487</v>
      </c>
      <c r="F53" s="11" t="n">
        <f aca="false">GEOMEAN(F5,F21,F37)</f>
        <v>1.25992104989487</v>
      </c>
      <c r="G53" s="11" t="n">
        <f aca="false">GEOMEAN(G5,G21,G37)</f>
        <v>1.5874010519682</v>
      </c>
      <c r="H53" s="11" t="n">
        <f aca="false">GEOMEAN(B53:G53)</f>
        <v>1.16652903957612</v>
      </c>
      <c r="I53" s="18" t="n">
        <f aca="false">H53/SUM(H$53:H$58)</f>
        <v>0.191218838390408</v>
      </c>
    </row>
    <row r="54" customFormat="false" ht="15" hidden="false" customHeight="false" outlineLevel="0" collapsed="false">
      <c r="A54" s="9" t="s">
        <v>61</v>
      </c>
      <c r="B54" s="11" t="n">
        <f aca="false">GEOMEAN(B6,B22,B38)</f>
        <v>1.25992104989487</v>
      </c>
      <c r="C54" s="11" t="n">
        <f aca="false">GEOMEAN(C6,C22,C38)</f>
        <v>1</v>
      </c>
      <c r="D54" s="11" t="n">
        <f aca="false">GEOMEAN(D6,D22,D38)</f>
        <v>1</v>
      </c>
      <c r="E54" s="11" t="n">
        <f aca="false">GEOMEAN(E6,E22,E38)</f>
        <v>1</v>
      </c>
      <c r="F54" s="11" t="n">
        <f aca="false">GEOMEAN(F6,F22,F38)</f>
        <v>1</v>
      </c>
      <c r="G54" s="11" t="n">
        <f aca="false">GEOMEAN(G6,G22,G38)</f>
        <v>2</v>
      </c>
      <c r="H54" s="11" t="n">
        <f aca="false">GEOMEAN(B54:G54)</f>
        <v>1.16652903957612</v>
      </c>
      <c r="I54" s="18" t="n">
        <f aca="false">H54/SUM(H$53:H$58)</f>
        <v>0.191218838390408</v>
      </c>
    </row>
    <row r="55" customFormat="false" ht="15" hidden="false" customHeight="false" outlineLevel="0" collapsed="false">
      <c r="A55" s="9" t="s">
        <v>62</v>
      </c>
      <c r="B55" s="11" t="n">
        <f aca="false">GEOMEAN(B7,B23,B39)</f>
        <v>0.7937005259841</v>
      </c>
      <c r="C55" s="11" t="n">
        <f aca="false">GEOMEAN(C7,C23,C39)</f>
        <v>1</v>
      </c>
      <c r="D55" s="11" t="n">
        <f aca="false">GEOMEAN(D7,D23,D39)</f>
        <v>1</v>
      </c>
      <c r="E55" s="11" t="n">
        <f aca="false">GEOMEAN(E7,E23,E39)</f>
        <v>1</v>
      </c>
      <c r="F55" s="11" t="n">
        <f aca="false">GEOMEAN(F7,F23,F39)</f>
        <v>1</v>
      </c>
      <c r="G55" s="11" t="n">
        <f aca="false">GEOMEAN(G7,G23,G39)</f>
        <v>1.25992104989487</v>
      </c>
      <c r="H55" s="11" t="n">
        <f aca="false">GEOMEAN(B55:G55)</f>
        <v>1</v>
      </c>
      <c r="I55" s="18" t="n">
        <f aca="false">H55/SUM(H$53:H$58)</f>
        <v>0.163921198618332</v>
      </c>
    </row>
    <row r="56" customFormat="false" ht="15" hidden="false" customHeight="false" outlineLevel="0" collapsed="false">
      <c r="A56" s="9" t="s">
        <v>63</v>
      </c>
      <c r="B56" s="11" t="n">
        <f aca="false">GEOMEAN(B8,B24,B40)</f>
        <v>0.7937005259841</v>
      </c>
      <c r="C56" s="11" t="n">
        <f aca="false">GEOMEAN(C8,C24,C40)</f>
        <v>1</v>
      </c>
      <c r="D56" s="11" t="n">
        <f aca="false">GEOMEAN(D8,D24,D40)</f>
        <v>1</v>
      </c>
      <c r="E56" s="11" t="n">
        <f aca="false">GEOMEAN(E8,E24,E40)</f>
        <v>1</v>
      </c>
      <c r="F56" s="11" t="n">
        <f aca="false">GEOMEAN(F8,F24,F40)</f>
        <v>1</v>
      </c>
      <c r="G56" s="11" t="n">
        <f aca="false">GEOMEAN(G8,G24,G40)</f>
        <v>1.5874010519682</v>
      </c>
      <c r="H56" s="11" t="n">
        <f aca="false">GEOMEAN(B56:G56)</f>
        <v>1.03925922603184</v>
      </c>
      <c r="I56" s="18" t="n">
        <f aca="false">H56/SUM(H$53:H$58)</f>
        <v>0.1703566180063</v>
      </c>
    </row>
    <row r="57" customFormat="false" ht="15" hidden="false" customHeight="false" outlineLevel="0" collapsed="false">
      <c r="A57" s="9" t="s">
        <v>64</v>
      </c>
      <c r="B57" s="11" t="n">
        <f aca="false">GEOMEAN(B9,B25,B41)</f>
        <v>0.7937005259841</v>
      </c>
      <c r="C57" s="11" t="n">
        <f aca="false">GEOMEAN(C9,C25,C41)</f>
        <v>1</v>
      </c>
      <c r="D57" s="11" t="n">
        <f aca="false">GEOMEAN(D9,D25,D41)</f>
        <v>1</v>
      </c>
      <c r="E57" s="11" t="n">
        <f aca="false">GEOMEAN(E9,E25,E41)</f>
        <v>1</v>
      </c>
      <c r="F57" s="11" t="n">
        <f aca="false">GEOMEAN(F9,F25,F41)</f>
        <v>1</v>
      </c>
      <c r="G57" s="11" t="n">
        <f aca="false">GEOMEAN(G9,G25,G41)</f>
        <v>1.81712059283214</v>
      </c>
      <c r="H57" s="11" t="n">
        <f aca="false">GEOMEAN(B57:G57)</f>
        <v>1.06293507041105</v>
      </c>
      <c r="I57" s="18" t="n">
        <f aca="false">H57/SUM(H$53:H$58)</f>
        <v>0.174237590795241</v>
      </c>
    </row>
    <row r="58" customFormat="false" ht="15" hidden="false" customHeight="false" outlineLevel="0" collapsed="false">
      <c r="A58" s="9" t="s">
        <v>65</v>
      </c>
      <c r="B58" s="11" t="n">
        <f aca="false">GEOMEAN(B10,B26,B42)</f>
        <v>0.629960524947437</v>
      </c>
      <c r="C58" s="11" t="n">
        <f aca="false">GEOMEAN(C10,C26,C42)</f>
        <v>0.5</v>
      </c>
      <c r="D58" s="11" t="n">
        <f aca="false">GEOMEAN(D10,D26,D42)</f>
        <v>0.7937005259841</v>
      </c>
      <c r="E58" s="11" t="n">
        <f aca="false">GEOMEAN(E10,E26,E42)</f>
        <v>0.629960524947437</v>
      </c>
      <c r="F58" s="11" t="n">
        <f aca="false">GEOMEAN(F10,F26,F42)</f>
        <v>0.550321208149105</v>
      </c>
      <c r="G58" s="11" t="n">
        <f aca="false">GEOMEAN(G10,G26,G42)</f>
        <v>1</v>
      </c>
      <c r="H58" s="11" t="n">
        <f aca="false">GEOMEAN(B58:G58)</f>
        <v>0.665239863534748</v>
      </c>
      <c r="I58" s="18" t="n">
        <f aca="false">H58/SUM(H$53:H$58)</f>
        <v>0.109046915799311</v>
      </c>
    </row>
    <row r="59" customFormat="false" ht="15" hidden="false" customHeight="false" outlineLevel="0" collapsed="false">
      <c r="A59" s="9" t="s">
        <v>66</v>
      </c>
      <c r="B59" s="11" t="n">
        <f aca="false">SUM(B53:B58)</f>
        <v>5.27098315279461</v>
      </c>
      <c r="C59" s="11" t="n">
        <f aca="false">SUM(C53:C58)</f>
        <v>5.2937005259841</v>
      </c>
      <c r="D59" s="11" t="n">
        <f aca="false">SUM(D53:D58)</f>
        <v>6.05362157587897</v>
      </c>
      <c r="E59" s="11" t="n">
        <f aca="false">SUM(E53:E58)</f>
        <v>5.88988157484231</v>
      </c>
      <c r="F59" s="11" t="n">
        <f aca="false">SUM(F53:F58)</f>
        <v>5.81024225804398</v>
      </c>
      <c r="G59" s="11" t="n">
        <f aca="false">SUM(G53:G58)</f>
        <v>9.25184374666341</v>
      </c>
    </row>
    <row r="60" customFormat="false" ht="15" hidden="false" customHeight="false" outlineLevel="0" collapsed="false">
      <c r="A60" s="9" t="s">
        <v>67</v>
      </c>
      <c r="B60" s="11" t="n">
        <f aca="false">I53</f>
        <v>0.191218838390408</v>
      </c>
      <c r="C60" s="11" t="n">
        <f aca="false">I54</f>
        <v>0.191218838390408</v>
      </c>
      <c r="D60" s="11" t="n">
        <f aca="false">I55</f>
        <v>0.163921198618332</v>
      </c>
      <c r="E60" s="11" t="n">
        <f aca="false">I56</f>
        <v>0.1703566180063</v>
      </c>
      <c r="F60" s="11" t="n">
        <f aca="false">I57</f>
        <v>0.174237590795241</v>
      </c>
      <c r="G60" s="11" t="n">
        <f aca="false">I58</f>
        <v>0.109046915799311</v>
      </c>
    </row>
    <row r="61" customFormat="false" ht="15" hidden="false" customHeight="false" outlineLevel="0" collapsed="false">
      <c r="A61" s="9" t="s">
        <v>68</v>
      </c>
      <c r="B61" s="11" t="n">
        <f aca="false">SUMPRODUCT(B59:G59,B60:G60)</f>
        <v>6.03711139027487</v>
      </c>
    </row>
    <row r="62" customFormat="false" ht="15" hidden="false" customHeight="false" outlineLevel="0" collapsed="false">
      <c r="A62" s="9" t="s">
        <v>69</v>
      </c>
      <c r="B62" s="11" t="n">
        <f aca="false">(B61-6)/(6-1)</f>
        <v>0.00742227805497429</v>
      </c>
    </row>
    <row r="63" customFormat="false" ht="15" hidden="false" customHeight="false" outlineLevel="0" collapsed="false">
      <c r="A63" s="9" t="s">
        <v>70</v>
      </c>
      <c r="B63" s="19" t="n">
        <v>1.24</v>
      </c>
    </row>
    <row r="64" customFormat="false" ht="15" hidden="false" customHeight="false" outlineLevel="0" collapsed="false">
      <c r="A64" s="9" t="s">
        <v>71</v>
      </c>
      <c r="B64" s="20" t="n">
        <f aca="false">B62/B63</f>
        <v>0.00598570810885023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1"/>
    <col collapsed="false" customWidth="true" hidden="false" outlineLevel="0" max="8" min="7" style="1" width="14"/>
  </cols>
  <sheetData>
    <row r="1" customFormat="false" ht="17.35" hidden="false" customHeight="false" outlineLevel="0" collapsed="false">
      <c r="A1" s="2" t="s">
        <v>75</v>
      </c>
    </row>
    <row r="2" customFormat="false" ht="15" hidden="false" customHeight="false" outlineLevel="0" collapsed="false">
      <c r="A2" s="3" t="s">
        <v>76</v>
      </c>
    </row>
    <row r="4" customFormat="false" ht="15" hidden="false" customHeight="false" outlineLevel="0" collapsed="false">
      <c r="A4" s="4" t="s">
        <v>57</v>
      </c>
    </row>
    <row r="5" customFormat="false" ht="23.85" hidden="false" customHeight="false" outlineLevel="0" collapsed="false">
      <c r="A5" s="6"/>
      <c r="B5" s="6" t="s">
        <v>27</v>
      </c>
      <c r="C5" s="6" t="s">
        <v>29</v>
      </c>
      <c r="D5" s="6" t="s">
        <v>31</v>
      </c>
      <c r="E5" s="6" t="s">
        <v>33</v>
      </c>
      <c r="F5" s="6" t="s">
        <v>35</v>
      </c>
      <c r="G5" s="6" t="s">
        <v>58</v>
      </c>
      <c r="H5" s="6" t="s">
        <v>59</v>
      </c>
    </row>
    <row r="6" customFormat="false" ht="15" hidden="false" customHeight="false" outlineLevel="0" collapsed="false">
      <c r="A6" s="9" t="s">
        <v>41</v>
      </c>
      <c r="B6" s="16" t="n">
        <v>1</v>
      </c>
      <c r="C6" s="17" t="n">
        <v>1</v>
      </c>
      <c r="D6" s="17" t="n">
        <v>2</v>
      </c>
      <c r="E6" s="17" t="n">
        <v>1</v>
      </c>
      <c r="F6" s="17" t="n">
        <v>2</v>
      </c>
      <c r="G6" s="11" t="n">
        <f aca="false">GEOMEAN(B6:F6)</f>
        <v>1.31950791077289</v>
      </c>
      <c r="H6" s="18" t="n">
        <f aca="false">G6/SUM(G$6:G$10)</f>
        <v>0.255979905732889</v>
      </c>
    </row>
    <row r="7" customFormat="false" ht="15" hidden="false" customHeight="false" outlineLevel="0" collapsed="false">
      <c r="A7" s="9" t="s">
        <v>42</v>
      </c>
      <c r="B7" s="16" t="n">
        <f aca="false">1/C6</f>
        <v>1</v>
      </c>
      <c r="C7" s="16" t="n">
        <v>1</v>
      </c>
      <c r="D7" s="17" t="n">
        <v>2</v>
      </c>
      <c r="E7" s="17" t="n">
        <v>1</v>
      </c>
      <c r="F7" s="17" t="n">
        <v>2</v>
      </c>
      <c r="G7" s="11" t="n">
        <f aca="false">GEOMEAN(B7:F7)</f>
        <v>1.31950791077289</v>
      </c>
      <c r="H7" s="18" t="n">
        <f aca="false">G7/SUM(G$6:G$10)</f>
        <v>0.255979905732889</v>
      </c>
    </row>
    <row r="8" customFormat="false" ht="15" hidden="false" customHeight="false" outlineLevel="0" collapsed="false">
      <c r="A8" s="9" t="s">
        <v>43</v>
      </c>
      <c r="B8" s="16" t="n">
        <f aca="false">1/D6</f>
        <v>0.5</v>
      </c>
      <c r="C8" s="16" t="n">
        <f aca="false">1/D7</f>
        <v>0.5</v>
      </c>
      <c r="D8" s="16" t="n">
        <v>1</v>
      </c>
      <c r="E8" s="17" t="n">
        <v>1</v>
      </c>
      <c r="F8" s="17" t="n">
        <v>1</v>
      </c>
      <c r="G8" s="11" t="n">
        <f aca="false">GEOMEAN(B8:F8)</f>
        <v>0.757858283255199</v>
      </c>
      <c r="H8" s="18" t="n">
        <f aca="false">G8/SUM(G$6:G$10)</f>
        <v>0.147021848313833</v>
      </c>
    </row>
    <row r="9" customFormat="false" ht="15" hidden="false" customHeight="false" outlineLevel="0" collapsed="false">
      <c r="A9" s="9" t="s">
        <v>44</v>
      </c>
      <c r="B9" s="16" t="n">
        <f aca="false">1/E6</f>
        <v>1</v>
      </c>
      <c r="C9" s="16" t="n">
        <f aca="false">1/E7</f>
        <v>1</v>
      </c>
      <c r="D9" s="16" t="n">
        <f aca="false">1/E8</f>
        <v>1</v>
      </c>
      <c r="E9" s="16" t="n">
        <v>1</v>
      </c>
      <c r="F9" s="17" t="n">
        <v>1</v>
      </c>
      <c r="G9" s="11" t="n">
        <f aca="false">GEOMEAN(B9:F9)</f>
        <v>1</v>
      </c>
      <c r="H9" s="18" t="n">
        <f aca="false">G9/SUM(G$6:G$10)</f>
        <v>0.193996491906555</v>
      </c>
    </row>
    <row r="10" customFormat="false" ht="15" hidden="false" customHeight="false" outlineLevel="0" collapsed="false">
      <c r="A10" s="9" t="s">
        <v>45</v>
      </c>
      <c r="B10" s="16" t="n">
        <f aca="false">1/F6</f>
        <v>0.5</v>
      </c>
      <c r="C10" s="16" t="n">
        <f aca="false">1/F7</f>
        <v>0.5</v>
      </c>
      <c r="D10" s="16" t="n">
        <f aca="false">1/F8</f>
        <v>1</v>
      </c>
      <c r="E10" s="16" t="n">
        <f aca="false">1/F9</f>
        <v>1</v>
      </c>
      <c r="F10" s="16" t="n">
        <v>1</v>
      </c>
      <c r="G10" s="11" t="n">
        <f aca="false">GEOMEAN(B10:F10)</f>
        <v>0.757858283255199</v>
      </c>
      <c r="H10" s="18" t="n">
        <f aca="false">G10/SUM(G$6:G$10)</f>
        <v>0.147021848313833</v>
      </c>
    </row>
    <row r="11" customFormat="false" ht="15" hidden="false" customHeight="false" outlineLevel="0" collapsed="false">
      <c r="A11" s="9" t="s">
        <v>66</v>
      </c>
      <c r="B11" s="11" t="n">
        <f aca="false">SUM(B6:B10)</f>
        <v>4</v>
      </c>
      <c r="C11" s="11" t="n">
        <f aca="false">SUM(C6:C10)</f>
        <v>4</v>
      </c>
      <c r="D11" s="11" t="n">
        <f aca="false">SUM(D6:D10)</f>
        <v>7</v>
      </c>
      <c r="E11" s="11" t="n">
        <f aca="false">SUM(E6:E10)</f>
        <v>5</v>
      </c>
      <c r="F11" s="11" t="n">
        <f aca="false">SUM(F6:F10)</f>
        <v>7</v>
      </c>
    </row>
    <row r="12" customFormat="false" ht="15" hidden="false" customHeight="false" outlineLevel="0" collapsed="false">
      <c r="A12" s="9" t="s">
        <v>67</v>
      </c>
      <c r="B12" s="11" t="n">
        <f aca="false">H6</f>
        <v>0.255979905732889</v>
      </c>
      <c r="C12" s="11" t="n">
        <f aca="false">H7</f>
        <v>0.255979905732889</v>
      </c>
      <c r="D12" s="11" t="n">
        <f aca="false">H8</f>
        <v>0.147021848313833</v>
      </c>
      <c r="E12" s="11" t="n">
        <f aca="false">H9</f>
        <v>0.193996491906555</v>
      </c>
      <c r="F12" s="11" t="n">
        <f aca="false">H10</f>
        <v>0.147021848313833</v>
      </c>
    </row>
    <row r="13" customFormat="false" ht="15" hidden="false" customHeight="false" outlineLevel="0" collapsed="false">
      <c r="A13" s="9" t="s">
        <v>68</v>
      </c>
      <c r="B13" s="11" t="n">
        <f aca="false">SUMPRODUCT(B11:F11,B12:F12)</f>
        <v>5.07612758178955</v>
      </c>
    </row>
    <row r="14" customFormat="false" ht="15" hidden="false" customHeight="false" outlineLevel="0" collapsed="false">
      <c r="A14" s="9" t="s">
        <v>69</v>
      </c>
      <c r="B14" s="11" t="n">
        <f aca="false">(B13-5)/(5-1)</f>
        <v>0.0190318954473883</v>
      </c>
    </row>
    <row r="15" customFormat="false" ht="15" hidden="false" customHeight="false" outlineLevel="0" collapsed="false">
      <c r="A15" s="9" t="s">
        <v>70</v>
      </c>
      <c r="B15" s="19" t="n">
        <v>1.12</v>
      </c>
    </row>
    <row r="16" customFormat="false" ht="15" hidden="false" customHeight="false" outlineLevel="0" collapsed="false">
      <c r="A16" s="9" t="s">
        <v>71</v>
      </c>
      <c r="B16" s="20" t="n">
        <f aca="false">B14/B15</f>
        <v>0.0169927637923109</v>
      </c>
    </row>
    <row r="19" customFormat="false" ht="15" hidden="false" customHeight="false" outlineLevel="0" collapsed="false">
      <c r="A19" s="4" t="s">
        <v>72</v>
      </c>
    </row>
    <row r="20" customFormat="false" ht="23.85" hidden="false" customHeight="false" outlineLevel="0" collapsed="false">
      <c r="A20" s="6"/>
      <c r="B20" s="6" t="s">
        <v>27</v>
      </c>
      <c r="C20" s="6" t="s">
        <v>29</v>
      </c>
      <c r="D20" s="6" t="s">
        <v>31</v>
      </c>
      <c r="E20" s="6" t="s">
        <v>33</v>
      </c>
      <c r="F20" s="6" t="s">
        <v>35</v>
      </c>
      <c r="G20" s="6" t="s">
        <v>58</v>
      </c>
      <c r="H20" s="6" t="s">
        <v>59</v>
      </c>
    </row>
    <row r="21" customFormat="false" ht="15" hidden="false" customHeight="false" outlineLevel="0" collapsed="false">
      <c r="A21" s="9" t="s">
        <v>41</v>
      </c>
      <c r="B21" s="16" t="n">
        <v>1</v>
      </c>
      <c r="C21" s="17" t="n">
        <v>1</v>
      </c>
      <c r="D21" s="17" t="n">
        <v>1</v>
      </c>
      <c r="E21" s="17" t="n">
        <v>2</v>
      </c>
      <c r="F21" s="17" t="n">
        <v>1</v>
      </c>
      <c r="G21" s="11" t="n">
        <f aca="false">GEOMEAN(B21:F21)</f>
        <v>1.14869835499704</v>
      </c>
      <c r="H21" s="18" t="n">
        <f aca="false">G21/SUM(G$21:G$25)</f>
        <v>0.227228568396845</v>
      </c>
    </row>
    <row r="22" customFormat="false" ht="15" hidden="false" customHeight="false" outlineLevel="0" collapsed="false">
      <c r="A22" s="9" t="s">
        <v>42</v>
      </c>
      <c r="B22" s="16" t="n">
        <f aca="false">1/C21</f>
        <v>1</v>
      </c>
      <c r="C22" s="16" t="n">
        <v>1</v>
      </c>
      <c r="D22" s="17" t="n">
        <v>1</v>
      </c>
      <c r="E22" s="17" t="n">
        <v>1</v>
      </c>
      <c r="F22" s="17" t="n">
        <v>1</v>
      </c>
      <c r="G22" s="11" t="n">
        <f aca="false">GEOMEAN(B22:F22)</f>
        <v>1</v>
      </c>
      <c r="H22" s="18" t="n">
        <f aca="false">G22/SUM(G$21:G$25)</f>
        <v>0.197813958214846</v>
      </c>
    </row>
    <row r="23" customFormat="false" ht="15" hidden="false" customHeight="false" outlineLevel="0" collapsed="false">
      <c r="A23" s="9" t="s">
        <v>43</v>
      </c>
      <c r="B23" s="16" t="n">
        <f aca="false">1/D21</f>
        <v>1</v>
      </c>
      <c r="C23" s="16" t="n">
        <f aca="false">1/D22</f>
        <v>1</v>
      </c>
      <c r="D23" s="16" t="n">
        <v>1</v>
      </c>
      <c r="E23" s="17" t="n">
        <v>1</v>
      </c>
      <c r="F23" s="17" t="n">
        <v>1</v>
      </c>
      <c r="G23" s="11" t="n">
        <f aca="false">GEOMEAN(B23:F23)</f>
        <v>1</v>
      </c>
      <c r="H23" s="18" t="n">
        <f aca="false">G23/SUM(G$21:G$25)</f>
        <v>0.197813958214846</v>
      </c>
    </row>
    <row r="24" customFormat="false" ht="15" hidden="false" customHeight="false" outlineLevel="0" collapsed="false">
      <c r="A24" s="9" t="s">
        <v>44</v>
      </c>
      <c r="B24" s="16" t="n">
        <f aca="false">1/E21</f>
        <v>0.5</v>
      </c>
      <c r="C24" s="16" t="n">
        <f aca="false">1/E22</f>
        <v>1</v>
      </c>
      <c r="D24" s="16" t="n">
        <f aca="false">1/E23</f>
        <v>1</v>
      </c>
      <c r="E24" s="16" t="n">
        <v>1</v>
      </c>
      <c r="F24" s="17" t="n">
        <f aca="false">1/2</f>
        <v>0.5</v>
      </c>
      <c r="G24" s="11" t="n">
        <f aca="false">GEOMEAN(B24:F24)</f>
        <v>0.757858283255199</v>
      </c>
      <c r="H24" s="18" t="n">
        <f aca="false">G24/SUM(G$21:G$25)</f>
        <v>0.149914946776619</v>
      </c>
    </row>
    <row r="25" customFormat="false" ht="15" hidden="false" customHeight="false" outlineLevel="0" collapsed="false">
      <c r="A25" s="9" t="s">
        <v>45</v>
      </c>
      <c r="B25" s="16" t="n">
        <f aca="false">1/F21</f>
        <v>1</v>
      </c>
      <c r="C25" s="16" t="n">
        <f aca="false">1/F22</f>
        <v>1</v>
      </c>
      <c r="D25" s="16" t="n">
        <f aca="false">1/F23</f>
        <v>1</v>
      </c>
      <c r="E25" s="16" t="n">
        <f aca="false">1/F24</f>
        <v>2</v>
      </c>
      <c r="F25" s="16" t="n">
        <v>1</v>
      </c>
      <c r="G25" s="11" t="n">
        <f aca="false">GEOMEAN(B25:F25)</f>
        <v>1.14869835499704</v>
      </c>
      <c r="H25" s="18" t="n">
        <f aca="false">G25/SUM(G$21:G$25)</f>
        <v>0.227228568396845</v>
      </c>
    </row>
    <row r="26" customFormat="false" ht="15" hidden="false" customHeight="false" outlineLevel="0" collapsed="false">
      <c r="A26" s="9" t="s">
        <v>66</v>
      </c>
      <c r="B26" s="11" t="n">
        <f aca="false">SUM(B21:B25)</f>
        <v>4.5</v>
      </c>
      <c r="C26" s="11" t="n">
        <f aca="false">SUM(C21:C25)</f>
        <v>5</v>
      </c>
      <c r="D26" s="11" t="n">
        <f aca="false">SUM(D21:D25)</f>
        <v>5</v>
      </c>
      <c r="E26" s="11" t="n">
        <f aca="false">SUM(E21:E25)</f>
        <v>7</v>
      </c>
      <c r="F26" s="11" t="n">
        <f aca="false">SUM(F21:F25)</f>
        <v>4.5</v>
      </c>
    </row>
    <row r="27" customFormat="false" ht="15" hidden="false" customHeight="false" outlineLevel="0" collapsed="false">
      <c r="A27" s="9" t="s">
        <v>67</v>
      </c>
      <c r="B27" s="11" t="n">
        <f aca="false">H21</f>
        <v>0.227228568396845</v>
      </c>
      <c r="C27" s="11" t="n">
        <f aca="false">H22</f>
        <v>0.197813958214846</v>
      </c>
      <c r="D27" s="11" t="n">
        <f aca="false">H23</f>
        <v>0.197813958214846</v>
      </c>
      <c r="E27" s="11" t="n">
        <f aca="false">H24</f>
        <v>0.149914946776619</v>
      </c>
      <c r="F27" s="11" t="n">
        <f aca="false">H25</f>
        <v>0.227228568396845</v>
      </c>
    </row>
    <row r="28" customFormat="false" ht="15" hidden="false" customHeight="false" outlineLevel="0" collapsed="false">
      <c r="A28" s="9" t="s">
        <v>68</v>
      </c>
      <c r="B28" s="11" t="n">
        <f aca="false">SUMPRODUCT(B26:F26,B27:F27)</f>
        <v>5.07260132515639</v>
      </c>
    </row>
    <row r="29" customFormat="false" ht="15" hidden="false" customHeight="false" outlineLevel="0" collapsed="false">
      <c r="A29" s="9" t="s">
        <v>69</v>
      </c>
      <c r="B29" s="11" t="n">
        <f aca="false">(B28-5)/(5-1)</f>
        <v>0.0181503312890978</v>
      </c>
    </row>
    <row r="30" customFormat="false" ht="15" hidden="false" customHeight="false" outlineLevel="0" collapsed="false">
      <c r="A30" s="9" t="s">
        <v>70</v>
      </c>
      <c r="B30" s="19" t="n">
        <v>1.12</v>
      </c>
    </row>
    <row r="31" customFormat="false" ht="15" hidden="false" customHeight="false" outlineLevel="0" collapsed="false">
      <c r="A31" s="9" t="s">
        <v>71</v>
      </c>
      <c r="B31" s="20" t="n">
        <f aca="false">B29/B30</f>
        <v>0.0162056529366945</v>
      </c>
    </row>
    <row r="34" customFormat="false" ht="15" hidden="false" customHeight="false" outlineLevel="0" collapsed="false">
      <c r="A34" s="4" t="s">
        <v>73</v>
      </c>
    </row>
    <row r="35" customFormat="false" ht="23.85" hidden="false" customHeight="false" outlineLevel="0" collapsed="false">
      <c r="A35" s="6"/>
      <c r="B35" s="6" t="s">
        <v>27</v>
      </c>
      <c r="C35" s="6" t="s">
        <v>29</v>
      </c>
      <c r="D35" s="6" t="s">
        <v>31</v>
      </c>
      <c r="E35" s="6" t="s">
        <v>33</v>
      </c>
      <c r="F35" s="6" t="s">
        <v>35</v>
      </c>
      <c r="G35" s="6" t="s">
        <v>58</v>
      </c>
      <c r="H35" s="6" t="s">
        <v>59</v>
      </c>
    </row>
    <row r="36" customFormat="false" ht="15" hidden="false" customHeight="false" outlineLevel="0" collapsed="false">
      <c r="A36" s="9" t="s">
        <v>41</v>
      </c>
      <c r="B36" s="16" t="n">
        <v>1</v>
      </c>
      <c r="C36" s="17" t="n">
        <v>1</v>
      </c>
      <c r="D36" s="17" t="n">
        <v>1</v>
      </c>
      <c r="E36" s="17" t="n">
        <v>1</v>
      </c>
      <c r="F36" s="17" t="n">
        <v>1</v>
      </c>
      <c r="G36" s="11" t="n">
        <f aca="false">GEOMEAN(B36:F36)</f>
        <v>1</v>
      </c>
      <c r="H36" s="18" t="n">
        <f aca="false">G36/SUM(G$36:G$40)</f>
        <v>0.2</v>
      </c>
    </row>
    <row r="37" customFormat="false" ht="15" hidden="false" customHeight="false" outlineLevel="0" collapsed="false">
      <c r="A37" s="9" t="s">
        <v>42</v>
      </c>
      <c r="B37" s="16" t="n">
        <f aca="false">1/C36</f>
        <v>1</v>
      </c>
      <c r="C37" s="16" t="n">
        <v>1</v>
      </c>
      <c r="D37" s="17" t="n">
        <v>1</v>
      </c>
      <c r="E37" s="17" t="n">
        <v>1</v>
      </c>
      <c r="F37" s="17" t="n">
        <v>1</v>
      </c>
      <c r="G37" s="11" t="n">
        <f aca="false">GEOMEAN(B37:F37)</f>
        <v>1</v>
      </c>
      <c r="H37" s="18" t="n">
        <f aca="false">G37/SUM(G$36:G$40)</f>
        <v>0.2</v>
      </c>
    </row>
    <row r="38" customFormat="false" ht="15" hidden="false" customHeight="false" outlineLevel="0" collapsed="false">
      <c r="A38" s="9" t="s">
        <v>43</v>
      </c>
      <c r="B38" s="16" t="n">
        <f aca="false">1/D36</f>
        <v>1</v>
      </c>
      <c r="C38" s="16" t="n">
        <f aca="false">1/D37</f>
        <v>1</v>
      </c>
      <c r="D38" s="16" t="n">
        <v>1</v>
      </c>
      <c r="E38" s="17" t="n">
        <v>1</v>
      </c>
      <c r="F38" s="17" t="n">
        <v>1</v>
      </c>
      <c r="G38" s="11" t="n">
        <f aca="false">GEOMEAN(B38:F38)</f>
        <v>1</v>
      </c>
      <c r="H38" s="18" t="n">
        <f aca="false">G38/SUM(G$36:G$40)</f>
        <v>0.2</v>
      </c>
    </row>
    <row r="39" customFormat="false" ht="15" hidden="false" customHeight="false" outlineLevel="0" collapsed="false">
      <c r="A39" s="9" t="s">
        <v>44</v>
      </c>
      <c r="B39" s="16" t="n">
        <f aca="false">1/E36</f>
        <v>1</v>
      </c>
      <c r="C39" s="16" t="n">
        <f aca="false">1/E37</f>
        <v>1</v>
      </c>
      <c r="D39" s="16" t="n">
        <f aca="false">1/E38</f>
        <v>1</v>
      </c>
      <c r="E39" s="16" t="n">
        <v>1</v>
      </c>
      <c r="F39" s="17" t="n">
        <v>1</v>
      </c>
      <c r="G39" s="11" t="n">
        <f aca="false">GEOMEAN(B39:F39)</f>
        <v>1</v>
      </c>
      <c r="H39" s="18" t="n">
        <f aca="false">G39/SUM(G$36:G$40)</f>
        <v>0.2</v>
      </c>
    </row>
    <row r="40" customFormat="false" ht="15" hidden="false" customHeight="false" outlineLevel="0" collapsed="false">
      <c r="A40" s="9" t="s">
        <v>45</v>
      </c>
      <c r="B40" s="16" t="n">
        <f aca="false">1/F36</f>
        <v>1</v>
      </c>
      <c r="C40" s="16" t="n">
        <f aca="false">1/F37</f>
        <v>1</v>
      </c>
      <c r="D40" s="16" t="n">
        <f aca="false">1/F38</f>
        <v>1</v>
      </c>
      <c r="E40" s="16" t="n">
        <f aca="false">1/F39</f>
        <v>1</v>
      </c>
      <c r="F40" s="16" t="n">
        <v>1</v>
      </c>
      <c r="G40" s="11" t="n">
        <f aca="false">GEOMEAN(B40:F40)</f>
        <v>1</v>
      </c>
      <c r="H40" s="18" t="n">
        <f aca="false">G40/SUM(G$36:G$40)</f>
        <v>0.2</v>
      </c>
    </row>
    <row r="41" customFormat="false" ht="15" hidden="false" customHeight="false" outlineLevel="0" collapsed="false">
      <c r="A41" s="9" t="s">
        <v>66</v>
      </c>
      <c r="B41" s="11" t="n">
        <f aca="false">SUM(B36:B40)</f>
        <v>5</v>
      </c>
      <c r="C41" s="11" t="n">
        <f aca="false">SUM(C36:C40)</f>
        <v>5</v>
      </c>
      <c r="D41" s="11" t="n">
        <f aca="false">SUM(D36:D40)</f>
        <v>5</v>
      </c>
      <c r="E41" s="11" t="n">
        <f aca="false">SUM(E36:E40)</f>
        <v>5</v>
      </c>
      <c r="F41" s="11" t="n">
        <f aca="false">SUM(F36:F40)</f>
        <v>5</v>
      </c>
    </row>
    <row r="42" customFormat="false" ht="15" hidden="false" customHeight="false" outlineLevel="0" collapsed="false">
      <c r="A42" s="9" t="s">
        <v>67</v>
      </c>
      <c r="B42" s="11" t="n">
        <f aca="false">H36</f>
        <v>0.2</v>
      </c>
      <c r="C42" s="11" t="n">
        <f aca="false">H37</f>
        <v>0.2</v>
      </c>
      <c r="D42" s="11" t="n">
        <f aca="false">H38</f>
        <v>0.2</v>
      </c>
      <c r="E42" s="11" t="n">
        <f aca="false">H39</f>
        <v>0.2</v>
      </c>
      <c r="F42" s="11" t="n">
        <f aca="false">H40</f>
        <v>0.2</v>
      </c>
    </row>
    <row r="43" customFormat="false" ht="15" hidden="false" customHeight="false" outlineLevel="0" collapsed="false">
      <c r="A43" s="9" t="s">
        <v>68</v>
      </c>
      <c r="B43" s="11" t="n">
        <f aca="false">SUMPRODUCT(B41:F41,B42:F42)</f>
        <v>5</v>
      </c>
    </row>
    <row r="44" customFormat="false" ht="15" hidden="false" customHeight="false" outlineLevel="0" collapsed="false">
      <c r="A44" s="9" t="s">
        <v>69</v>
      </c>
      <c r="B44" s="11" t="n">
        <f aca="false">(B43-5)/(5-1)</f>
        <v>0</v>
      </c>
    </row>
    <row r="45" customFormat="false" ht="15" hidden="false" customHeight="false" outlineLevel="0" collapsed="false">
      <c r="A45" s="9" t="s">
        <v>70</v>
      </c>
      <c r="B45" s="19" t="n">
        <v>1.12</v>
      </c>
    </row>
    <row r="46" customFormat="false" ht="15" hidden="false" customHeight="false" outlineLevel="0" collapsed="false">
      <c r="A46" s="9" t="s">
        <v>71</v>
      </c>
      <c r="B46" s="20" t="n">
        <f aca="false">B44/B45</f>
        <v>0</v>
      </c>
    </row>
    <row r="49" customFormat="false" ht="15" hidden="false" customHeight="false" outlineLevel="0" collapsed="false">
      <c r="A49" s="4" t="s">
        <v>74</v>
      </c>
    </row>
    <row r="50" customFormat="false" ht="23.85" hidden="false" customHeight="false" outlineLevel="0" collapsed="false">
      <c r="A50" s="6"/>
      <c r="B50" s="6" t="s">
        <v>27</v>
      </c>
      <c r="C50" s="6" t="s">
        <v>29</v>
      </c>
      <c r="D50" s="6" t="s">
        <v>31</v>
      </c>
      <c r="E50" s="6" t="s">
        <v>33</v>
      </c>
      <c r="F50" s="6" t="s">
        <v>35</v>
      </c>
      <c r="G50" s="6" t="s">
        <v>58</v>
      </c>
      <c r="H50" s="6" t="s">
        <v>59</v>
      </c>
    </row>
    <row r="51" customFormat="false" ht="15" hidden="false" customHeight="false" outlineLevel="0" collapsed="false">
      <c r="A51" s="9" t="s">
        <v>41</v>
      </c>
      <c r="B51" s="11" t="n">
        <f aca="false">GEOMEAN(B6,B21,B36)</f>
        <v>1</v>
      </c>
      <c r="C51" s="11" t="n">
        <f aca="false">GEOMEAN(C6,C21,C36)</f>
        <v>1</v>
      </c>
      <c r="D51" s="11" t="n">
        <f aca="false">GEOMEAN(D6,D21,D36)</f>
        <v>1.25992104989487</v>
      </c>
      <c r="E51" s="11" t="n">
        <f aca="false">GEOMEAN(E6,E21,E36)</f>
        <v>1.25992104989487</v>
      </c>
      <c r="F51" s="11" t="n">
        <f aca="false">GEOMEAN(F6,F21,F36)</f>
        <v>1.25992104989487</v>
      </c>
      <c r="G51" s="11" t="n">
        <f aca="false">GEOMEAN(B51:F51)</f>
        <v>1.14869835499704</v>
      </c>
      <c r="H51" s="18" t="n">
        <f aca="false">G51/SUM(G$51:G$55)</f>
        <v>0.22865083955565</v>
      </c>
    </row>
    <row r="52" customFormat="false" ht="15" hidden="false" customHeight="false" outlineLevel="0" collapsed="false">
      <c r="A52" s="9" t="s">
        <v>42</v>
      </c>
      <c r="B52" s="11" t="n">
        <f aca="false">GEOMEAN(B7,B22,B37)</f>
        <v>1</v>
      </c>
      <c r="C52" s="11" t="n">
        <f aca="false">GEOMEAN(C7,C22,C37)</f>
        <v>1</v>
      </c>
      <c r="D52" s="11" t="n">
        <f aca="false">GEOMEAN(D7,D22,D37)</f>
        <v>1.25992104989487</v>
      </c>
      <c r="E52" s="11" t="n">
        <f aca="false">GEOMEAN(E7,E22,E37)</f>
        <v>1</v>
      </c>
      <c r="F52" s="11" t="n">
        <f aca="false">GEOMEAN(F7,F22,F37)</f>
        <v>1.25992104989487</v>
      </c>
      <c r="G52" s="11" t="n">
        <f aca="false">GEOMEAN(B52:F52)</f>
        <v>1.09682497969463</v>
      </c>
      <c r="H52" s="18" t="n">
        <f aca="false">G52/SUM(G$51:G$55)</f>
        <v>0.21832533437678</v>
      </c>
    </row>
    <row r="53" customFormat="false" ht="15" hidden="false" customHeight="false" outlineLevel="0" collapsed="false">
      <c r="A53" s="9" t="s">
        <v>43</v>
      </c>
      <c r="B53" s="11" t="n">
        <f aca="false">GEOMEAN(B8,B23,B38)</f>
        <v>0.7937005259841</v>
      </c>
      <c r="C53" s="11" t="n">
        <f aca="false">GEOMEAN(C8,C23,C38)</f>
        <v>0.7937005259841</v>
      </c>
      <c r="D53" s="11" t="n">
        <f aca="false">GEOMEAN(D8,D23,D38)</f>
        <v>1</v>
      </c>
      <c r="E53" s="11" t="n">
        <f aca="false">GEOMEAN(E8,E23,E38)</f>
        <v>1</v>
      </c>
      <c r="F53" s="11" t="n">
        <f aca="false">GEOMEAN(F8,F23,F38)</f>
        <v>1</v>
      </c>
      <c r="G53" s="11" t="n">
        <f aca="false">GEOMEAN(B53:F53)</f>
        <v>0.911722488558217</v>
      </c>
      <c r="H53" s="18" t="n">
        <f aca="false">G53/SUM(G$51:G$55)</f>
        <v>0.181480291622025</v>
      </c>
    </row>
    <row r="54" customFormat="false" ht="15" hidden="false" customHeight="false" outlineLevel="0" collapsed="false">
      <c r="A54" s="9" t="s">
        <v>44</v>
      </c>
      <c r="B54" s="11" t="n">
        <f aca="false">GEOMEAN(B9,B24,B39)</f>
        <v>0.7937005259841</v>
      </c>
      <c r="C54" s="11" t="n">
        <f aca="false">GEOMEAN(C9,C24,C39)</f>
        <v>1</v>
      </c>
      <c r="D54" s="11" t="n">
        <f aca="false">GEOMEAN(D9,D24,D39)</f>
        <v>1</v>
      </c>
      <c r="E54" s="11" t="n">
        <f aca="false">GEOMEAN(E9,E24,E39)</f>
        <v>1</v>
      </c>
      <c r="F54" s="11" t="n">
        <f aca="false">GEOMEAN(F9,F24,F39)</f>
        <v>0.7937005259841</v>
      </c>
      <c r="G54" s="11" t="n">
        <f aca="false">GEOMEAN(B54:F54)</f>
        <v>0.911722488558217</v>
      </c>
      <c r="H54" s="18" t="n">
        <f aca="false">G54/SUM(G$51:G$55)</f>
        <v>0.181480291622025</v>
      </c>
    </row>
    <row r="55" customFormat="false" ht="15" hidden="false" customHeight="false" outlineLevel="0" collapsed="false">
      <c r="A55" s="9" t="s">
        <v>45</v>
      </c>
      <c r="B55" s="11" t="n">
        <f aca="false">GEOMEAN(B10,B25,B40)</f>
        <v>0.7937005259841</v>
      </c>
      <c r="C55" s="11" t="n">
        <f aca="false">GEOMEAN(C10,C25,C40)</f>
        <v>0.7937005259841</v>
      </c>
      <c r="D55" s="11" t="n">
        <f aca="false">GEOMEAN(D10,D25,D40)</f>
        <v>1</v>
      </c>
      <c r="E55" s="11" t="n">
        <f aca="false">GEOMEAN(E10,E25,E40)</f>
        <v>1.25992104989487</v>
      </c>
      <c r="F55" s="11" t="n">
        <f aca="false">GEOMEAN(F10,F25,F40)</f>
        <v>1</v>
      </c>
      <c r="G55" s="11" t="n">
        <f aca="false">GEOMEAN(B55:F55)</f>
        <v>0.954841603910417</v>
      </c>
      <c r="H55" s="18" t="n">
        <f aca="false">G55/SUM(G$51:G$55)</f>
        <v>0.19006324282352</v>
      </c>
    </row>
    <row r="56" customFormat="false" ht="15" hidden="false" customHeight="false" outlineLevel="0" collapsed="false">
      <c r="A56" s="9" t="s">
        <v>66</v>
      </c>
      <c r="B56" s="11" t="n">
        <f aca="false">SUM(B51:B55)</f>
        <v>4.3811015779523</v>
      </c>
      <c r="C56" s="11" t="n">
        <f aca="false">SUM(C51:C55)</f>
        <v>4.5874010519682</v>
      </c>
      <c r="D56" s="11" t="n">
        <f aca="false">SUM(D51:D55)</f>
        <v>5.51984209978975</v>
      </c>
      <c r="E56" s="11" t="n">
        <f aca="false">SUM(E51:E55)</f>
        <v>5.51984209978975</v>
      </c>
      <c r="F56" s="11" t="n">
        <f aca="false">SUM(F51:F55)</f>
        <v>5.31354262577385</v>
      </c>
    </row>
    <row r="57" customFormat="false" ht="15" hidden="false" customHeight="false" outlineLevel="0" collapsed="false">
      <c r="A57" s="9" t="s">
        <v>67</v>
      </c>
      <c r="B57" s="11" t="n">
        <f aca="false">H51</f>
        <v>0.22865083955565</v>
      </c>
      <c r="C57" s="11" t="n">
        <f aca="false">H52</f>
        <v>0.21832533437678</v>
      </c>
      <c r="D57" s="11" t="n">
        <f aca="false">H53</f>
        <v>0.181480291622025</v>
      </c>
      <c r="E57" s="11" t="n">
        <f aca="false">H54</f>
        <v>0.181480291622025</v>
      </c>
      <c r="F57" s="11" t="n">
        <f aca="false">H55</f>
        <v>0.19006324282352</v>
      </c>
    </row>
    <row r="58" customFormat="false" ht="15" hidden="false" customHeight="false" outlineLevel="0" collapsed="false">
      <c r="A58" s="9" t="s">
        <v>68</v>
      </c>
      <c r="B58" s="11" t="n">
        <f aca="false">SUMPRODUCT(B56:F56,B57:F57)</f>
        <v>5.01668267285905</v>
      </c>
    </row>
    <row r="59" customFormat="false" ht="15" hidden="false" customHeight="false" outlineLevel="0" collapsed="false">
      <c r="A59" s="9" t="s">
        <v>69</v>
      </c>
      <c r="B59" s="11" t="n">
        <f aca="false">(B58-5)/(5-1)</f>
        <v>0.00417066821476309</v>
      </c>
    </row>
    <row r="60" customFormat="false" ht="15" hidden="false" customHeight="false" outlineLevel="0" collapsed="false">
      <c r="A60" s="9" t="s">
        <v>70</v>
      </c>
      <c r="B60" s="19" t="n">
        <v>1.12</v>
      </c>
    </row>
    <row r="61" customFormat="false" ht="15" hidden="false" customHeight="false" outlineLevel="0" collapsed="false">
      <c r="A61" s="9" t="s">
        <v>71</v>
      </c>
      <c r="B61" s="20" t="n">
        <f aca="false">B59/B60</f>
        <v>0.00372381090603847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1"/>
    <col collapsed="false" customWidth="true" hidden="false" outlineLevel="0" max="8" min="7" style="1" width="14"/>
  </cols>
  <sheetData>
    <row r="1" customFormat="false" ht="17.35" hidden="false" customHeight="false" outlineLevel="0" collapsed="false">
      <c r="A1" s="2" t="s">
        <v>77</v>
      </c>
    </row>
    <row r="2" customFormat="false" ht="15" hidden="false" customHeight="false" outlineLevel="0" collapsed="false">
      <c r="A2" s="3" t="s">
        <v>78</v>
      </c>
    </row>
    <row r="4" customFormat="false" ht="15" hidden="false" customHeight="false" outlineLevel="0" collapsed="false">
      <c r="A4" s="4" t="s">
        <v>57</v>
      </c>
    </row>
    <row r="5" customFormat="false" ht="23.85" hidden="false" customHeight="false" outlineLevel="0" collapsed="false">
      <c r="A5" s="6"/>
      <c r="B5" s="6" t="s">
        <v>27</v>
      </c>
      <c r="C5" s="6" t="s">
        <v>29</v>
      </c>
      <c r="D5" s="6" t="s">
        <v>31</v>
      </c>
      <c r="E5" s="6" t="s">
        <v>33</v>
      </c>
      <c r="F5" s="6" t="s">
        <v>35</v>
      </c>
      <c r="G5" s="6" t="s">
        <v>58</v>
      </c>
      <c r="H5" s="6" t="s">
        <v>59</v>
      </c>
    </row>
    <row r="6" customFormat="false" ht="15" hidden="false" customHeight="false" outlineLevel="0" collapsed="false">
      <c r="A6" s="9" t="s">
        <v>41</v>
      </c>
      <c r="B6" s="16" t="n">
        <v>1</v>
      </c>
      <c r="C6" s="17" t="n">
        <v>1</v>
      </c>
      <c r="D6" s="17" t="n">
        <v>1</v>
      </c>
      <c r="E6" s="17" t="n">
        <f aca="false">1/2</f>
        <v>0.5</v>
      </c>
      <c r="F6" s="17" t="n">
        <f aca="false">1/2</f>
        <v>0.5</v>
      </c>
      <c r="G6" s="11" t="n">
        <f aca="false">GEOMEAN(B6:F6)</f>
        <v>0.757858283255199</v>
      </c>
      <c r="H6" s="18" t="n">
        <f aca="false">G6/SUM(G$6:G$10)</f>
        <v>0.142201105339963</v>
      </c>
    </row>
    <row r="7" customFormat="false" ht="15" hidden="false" customHeight="false" outlineLevel="0" collapsed="false">
      <c r="A7" s="9" t="s">
        <v>42</v>
      </c>
      <c r="B7" s="16" t="n">
        <f aca="false">1/C6</f>
        <v>1</v>
      </c>
      <c r="C7" s="16" t="n">
        <v>1</v>
      </c>
      <c r="D7" s="17" t="n">
        <f aca="false">1/2</f>
        <v>0.5</v>
      </c>
      <c r="E7" s="17" t="n">
        <f aca="false">1/3</f>
        <v>0.333333333333333</v>
      </c>
      <c r="F7" s="17" t="n">
        <f aca="false">1/2</f>
        <v>0.5</v>
      </c>
      <c r="G7" s="11" t="n">
        <f aca="false">GEOMEAN(B7:F7)</f>
        <v>0.608364341893206</v>
      </c>
      <c r="H7" s="18" t="n">
        <f aca="false">G7/SUM(G$6:G$10)</f>
        <v>0.114150737384633</v>
      </c>
    </row>
    <row r="8" customFormat="false" ht="15" hidden="false" customHeight="false" outlineLevel="0" collapsed="false">
      <c r="A8" s="9" t="s">
        <v>43</v>
      </c>
      <c r="B8" s="16" t="n">
        <f aca="false">1/D6</f>
        <v>1</v>
      </c>
      <c r="C8" s="16" t="n">
        <f aca="false">1/D7</f>
        <v>2</v>
      </c>
      <c r="D8" s="16" t="n">
        <v>1</v>
      </c>
      <c r="E8" s="17" t="n">
        <f aca="false">1/2</f>
        <v>0.5</v>
      </c>
      <c r="F8" s="17" t="n">
        <v>1</v>
      </c>
      <c r="G8" s="11" t="n">
        <f aca="false">GEOMEAN(B8:F8)</f>
        <v>1</v>
      </c>
      <c r="H8" s="18" t="n">
        <f aca="false">G8/SUM(G$6:G$10)</f>
        <v>0.187635483416731</v>
      </c>
    </row>
    <row r="9" customFormat="false" ht="15" hidden="false" customHeight="false" outlineLevel="0" collapsed="false">
      <c r="A9" s="9" t="s">
        <v>44</v>
      </c>
      <c r="B9" s="16" t="n">
        <f aca="false">1/E6</f>
        <v>2</v>
      </c>
      <c r="C9" s="16" t="n">
        <f aca="false">1/E7</f>
        <v>3</v>
      </c>
      <c r="D9" s="16" t="n">
        <f aca="false">1/E8</f>
        <v>2</v>
      </c>
      <c r="E9" s="16" t="n">
        <v>1</v>
      </c>
      <c r="F9" s="17" t="n">
        <v>1</v>
      </c>
      <c r="G9" s="11" t="n">
        <f aca="false">GEOMEAN(B9:F9)</f>
        <v>1.64375182951723</v>
      </c>
      <c r="H9" s="18" t="n">
        <f aca="false">G9/SUM(G$6:G$10)</f>
        <v>0.3084261691486</v>
      </c>
    </row>
    <row r="10" customFormat="false" ht="15" hidden="false" customHeight="false" outlineLevel="0" collapsed="false">
      <c r="A10" s="9" t="s">
        <v>45</v>
      </c>
      <c r="B10" s="16" t="n">
        <f aca="false">1/F6</f>
        <v>2</v>
      </c>
      <c r="C10" s="16" t="n">
        <f aca="false">1/F7</f>
        <v>2</v>
      </c>
      <c r="D10" s="16" t="n">
        <f aca="false">1/F8</f>
        <v>1</v>
      </c>
      <c r="E10" s="16" t="n">
        <f aca="false">1/F9</f>
        <v>1</v>
      </c>
      <c r="F10" s="16" t="n">
        <v>1</v>
      </c>
      <c r="G10" s="11" t="n">
        <f aca="false">GEOMEAN(B10:F10)</f>
        <v>1.31950791077289</v>
      </c>
      <c r="H10" s="18" t="n">
        <f aca="false">G10/SUM(G$6:G$10)</f>
        <v>0.247586504710073</v>
      </c>
    </row>
    <row r="11" customFormat="false" ht="15" hidden="false" customHeight="false" outlineLevel="0" collapsed="false">
      <c r="A11" s="9" t="s">
        <v>66</v>
      </c>
      <c r="B11" s="11" t="n">
        <f aca="false">SUM(B6:B10)</f>
        <v>7</v>
      </c>
      <c r="C11" s="11" t="n">
        <f aca="false">SUM(C6:C10)</f>
        <v>9</v>
      </c>
      <c r="D11" s="11" t="n">
        <f aca="false">SUM(D6:D10)</f>
        <v>5.5</v>
      </c>
      <c r="E11" s="11" t="n">
        <f aca="false">SUM(E6:E10)</f>
        <v>3.33333333333333</v>
      </c>
      <c r="F11" s="11" t="n">
        <f aca="false">SUM(F6:F10)</f>
        <v>4</v>
      </c>
    </row>
    <row r="12" customFormat="false" ht="15" hidden="false" customHeight="false" outlineLevel="0" collapsed="false">
      <c r="A12" s="9" t="s">
        <v>67</v>
      </c>
      <c r="B12" s="11" t="n">
        <f aca="false">H6</f>
        <v>0.142201105339963</v>
      </c>
      <c r="C12" s="11" t="n">
        <f aca="false">H7</f>
        <v>0.114150737384633</v>
      </c>
      <c r="D12" s="11" t="n">
        <f aca="false">H8</f>
        <v>0.187635483416731</v>
      </c>
      <c r="E12" s="11" t="n">
        <f aca="false">H9</f>
        <v>0.3084261691486</v>
      </c>
      <c r="F12" s="11" t="n">
        <f aca="false">H10</f>
        <v>0.247586504710073</v>
      </c>
    </row>
    <row r="13" customFormat="false" ht="15" hidden="false" customHeight="false" outlineLevel="0" collapsed="false">
      <c r="A13" s="9" t="s">
        <v>68</v>
      </c>
      <c r="B13" s="11" t="n">
        <f aca="false">SUMPRODUCT(B11:F11,B12:F12)</f>
        <v>5.07319278196908</v>
      </c>
    </row>
    <row r="14" customFormat="false" ht="15" hidden="false" customHeight="false" outlineLevel="0" collapsed="false">
      <c r="A14" s="9" t="s">
        <v>69</v>
      </c>
      <c r="B14" s="11" t="n">
        <f aca="false">(B13-5)/(5-1)</f>
        <v>0.0182981954922707</v>
      </c>
    </row>
    <row r="15" customFormat="false" ht="15" hidden="false" customHeight="false" outlineLevel="0" collapsed="false">
      <c r="A15" s="9" t="s">
        <v>70</v>
      </c>
      <c r="B15" s="19" t="n">
        <v>1.12</v>
      </c>
    </row>
    <row r="16" customFormat="false" ht="15" hidden="false" customHeight="false" outlineLevel="0" collapsed="false">
      <c r="A16" s="9" t="s">
        <v>71</v>
      </c>
      <c r="B16" s="20" t="n">
        <f aca="false">B14/B15</f>
        <v>0.0163376745466703</v>
      </c>
    </row>
    <row r="19" customFormat="false" ht="15" hidden="false" customHeight="false" outlineLevel="0" collapsed="false">
      <c r="A19" s="4" t="s">
        <v>72</v>
      </c>
    </row>
    <row r="20" customFormat="false" ht="23.85" hidden="false" customHeight="false" outlineLevel="0" collapsed="false">
      <c r="A20" s="6"/>
      <c r="B20" s="6" t="s">
        <v>27</v>
      </c>
      <c r="C20" s="6" t="s">
        <v>29</v>
      </c>
      <c r="D20" s="6" t="s">
        <v>31</v>
      </c>
      <c r="E20" s="6" t="s">
        <v>33</v>
      </c>
      <c r="F20" s="6" t="s">
        <v>35</v>
      </c>
      <c r="G20" s="6" t="s">
        <v>58</v>
      </c>
      <c r="H20" s="6" t="s">
        <v>59</v>
      </c>
    </row>
    <row r="21" customFormat="false" ht="15" hidden="false" customHeight="false" outlineLevel="0" collapsed="false">
      <c r="A21" s="9" t="s">
        <v>41</v>
      </c>
      <c r="B21" s="16" t="n">
        <v>1</v>
      </c>
      <c r="C21" s="17" t="n">
        <v>2</v>
      </c>
      <c r="D21" s="17" t="n">
        <v>1</v>
      </c>
      <c r="E21" s="17" t="n">
        <f aca="false">1/2</f>
        <v>0.5</v>
      </c>
      <c r="F21" s="17" t="n">
        <f aca="false">1/2</f>
        <v>0.5</v>
      </c>
      <c r="G21" s="11" t="n">
        <f aca="false">GEOMEAN(B21:F21)</f>
        <v>0.870550563296124</v>
      </c>
      <c r="H21" s="18" t="n">
        <f aca="false">G21/SUM(G$21:G$25)</f>
        <v>0.16231251744132</v>
      </c>
    </row>
    <row r="22" customFormat="false" ht="15" hidden="false" customHeight="false" outlineLevel="0" collapsed="false">
      <c r="A22" s="9" t="s">
        <v>42</v>
      </c>
      <c r="B22" s="16" t="n">
        <f aca="false">1/C21</f>
        <v>0.5</v>
      </c>
      <c r="C22" s="16" t="n">
        <v>1</v>
      </c>
      <c r="D22" s="17" t="n">
        <f aca="false">1/2</f>
        <v>0.5</v>
      </c>
      <c r="E22" s="17" t="n">
        <f aca="false">1/3</f>
        <v>0.333333333333333</v>
      </c>
      <c r="F22" s="17" t="n">
        <f aca="false">1/2</f>
        <v>0.5</v>
      </c>
      <c r="G22" s="11" t="n">
        <f aca="false">GEOMEAN(B22:F22)</f>
        <v>0.529611920524406</v>
      </c>
      <c r="H22" s="18" t="n">
        <f aca="false">G22/SUM(G$21:G$25)</f>
        <v>0.0987451478542182</v>
      </c>
    </row>
    <row r="23" customFormat="false" ht="15" hidden="false" customHeight="false" outlineLevel="0" collapsed="false">
      <c r="A23" s="9" t="s">
        <v>43</v>
      </c>
      <c r="B23" s="16" t="n">
        <f aca="false">1/D21</f>
        <v>1</v>
      </c>
      <c r="C23" s="16" t="n">
        <f aca="false">1/D22</f>
        <v>2</v>
      </c>
      <c r="D23" s="16" t="n">
        <v>1</v>
      </c>
      <c r="E23" s="17" t="n">
        <f aca="false">1/2</f>
        <v>0.5</v>
      </c>
      <c r="F23" s="17" t="n">
        <v>1</v>
      </c>
      <c r="G23" s="11" t="n">
        <f aca="false">GEOMEAN(B23:F23)</f>
        <v>1</v>
      </c>
      <c r="H23" s="18" t="n">
        <f aca="false">G23/SUM(G$21:G$25)</f>
        <v>0.186448121780272</v>
      </c>
    </row>
    <row r="24" customFormat="false" ht="15" hidden="false" customHeight="false" outlineLevel="0" collapsed="false">
      <c r="A24" s="9" t="s">
        <v>44</v>
      </c>
      <c r="B24" s="16" t="n">
        <f aca="false">1/E21</f>
        <v>2</v>
      </c>
      <c r="C24" s="16" t="n">
        <f aca="false">1/E22</f>
        <v>3</v>
      </c>
      <c r="D24" s="16" t="n">
        <f aca="false">1/E23</f>
        <v>2</v>
      </c>
      <c r="E24" s="16" t="n">
        <v>1</v>
      </c>
      <c r="F24" s="17" t="n">
        <v>1</v>
      </c>
      <c r="G24" s="11" t="n">
        <f aca="false">GEOMEAN(B24:F24)</f>
        <v>1.64375182951723</v>
      </c>
      <c r="H24" s="18" t="n">
        <f aca="false">G24/SUM(G$21:G$25)</f>
        <v>0.306474441286373</v>
      </c>
    </row>
    <row r="25" customFormat="false" ht="15" hidden="false" customHeight="false" outlineLevel="0" collapsed="false">
      <c r="A25" s="9" t="s">
        <v>45</v>
      </c>
      <c r="B25" s="16" t="n">
        <f aca="false">1/F21</f>
        <v>2</v>
      </c>
      <c r="C25" s="16" t="n">
        <f aca="false">1/F22</f>
        <v>2</v>
      </c>
      <c r="D25" s="16" t="n">
        <f aca="false">1/F23</f>
        <v>1</v>
      </c>
      <c r="E25" s="16" t="n">
        <f aca="false">1/F24</f>
        <v>1</v>
      </c>
      <c r="F25" s="16" t="n">
        <v>1</v>
      </c>
      <c r="G25" s="11" t="n">
        <f aca="false">GEOMEAN(B25:F25)</f>
        <v>1.31950791077289</v>
      </c>
      <c r="H25" s="18" t="n">
        <f aca="false">G25/SUM(G$21:G$25)</f>
        <v>0.246019771637817</v>
      </c>
    </row>
    <row r="26" customFormat="false" ht="15" hidden="false" customHeight="false" outlineLevel="0" collapsed="false">
      <c r="A26" s="9" t="s">
        <v>66</v>
      </c>
      <c r="B26" s="11" t="n">
        <f aca="false">SUM(B21:B25)</f>
        <v>6.5</v>
      </c>
      <c r="C26" s="11" t="n">
        <f aca="false">SUM(C21:C25)</f>
        <v>10</v>
      </c>
      <c r="D26" s="11" t="n">
        <f aca="false">SUM(D21:D25)</f>
        <v>5.5</v>
      </c>
      <c r="E26" s="11" t="n">
        <f aca="false">SUM(E21:E25)</f>
        <v>3.33333333333333</v>
      </c>
      <c r="F26" s="11" t="n">
        <f aca="false">SUM(F21:F25)</f>
        <v>4</v>
      </c>
    </row>
    <row r="27" customFormat="false" ht="15" hidden="false" customHeight="false" outlineLevel="0" collapsed="false">
      <c r="A27" s="9" t="s">
        <v>67</v>
      </c>
      <c r="B27" s="11" t="n">
        <f aca="false">H21</f>
        <v>0.16231251744132</v>
      </c>
      <c r="C27" s="11" t="n">
        <f aca="false">H22</f>
        <v>0.0987451478542182</v>
      </c>
      <c r="D27" s="11" t="n">
        <f aca="false">H23</f>
        <v>0.186448121780272</v>
      </c>
      <c r="E27" s="11" t="n">
        <f aca="false">H24</f>
        <v>0.306474441286373</v>
      </c>
      <c r="F27" s="11" t="n">
        <f aca="false">H25</f>
        <v>0.246019771637817</v>
      </c>
    </row>
    <row r="28" customFormat="false" ht="15" hidden="false" customHeight="false" outlineLevel="0" collapsed="false">
      <c r="A28" s="9" t="s">
        <v>68</v>
      </c>
      <c r="B28" s="11" t="n">
        <f aca="false">SUMPRODUCT(B26:F26,B27:F27)</f>
        <v>5.0736080692081</v>
      </c>
    </row>
    <row r="29" customFormat="false" ht="15" hidden="false" customHeight="false" outlineLevel="0" collapsed="false">
      <c r="A29" s="9" t="s">
        <v>69</v>
      </c>
      <c r="B29" s="11" t="n">
        <f aca="false">(B28-5)/(5-1)</f>
        <v>0.0184020173020256</v>
      </c>
    </row>
    <row r="30" customFormat="false" ht="15" hidden="false" customHeight="false" outlineLevel="0" collapsed="false">
      <c r="A30" s="9" t="s">
        <v>70</v>
      </c>
      <c r="B30" s="19" t="n">
        <v>1.12</v>
      </c>
    </row>
    <row r="31" customFormat="false" ht="15" hidden="false" customHeight="false" outlineLevel="0" collapsed="false">
      <c r="A31" s="9" t="s">
        <v>71</v>
      </c>
      <c r="B31" s="20" t="n">
        <f aca="false">B29/B30</f>
        <v>0.0164303725910943</v>
      </c>
    </row>
    <row r="34" customFormat="false" ht="15" hidden="false" customHeight="false" outlineLevel="0" collapsed="false">
      <c r="A34" s="4" t="s">
        <v>73</v>
      </c>
    </row>
    <row r="35" customFormat="false" ht="23.85" hidden="false" customHeight="false" outlineLevel="0" collapsed="false">
      <c r="A35" s="6"/>
      <c r="B35" s="6" t="s">
        <v>27</v>
      </c>
      <c r="C35" s="6" t="s">
        <v>29</v>
      </c>
      <c r="D35" s="6" t="s">
        <v>31</v>
      </c>
      <c r="E35" s="6" t="s">
        <v>33</v>
      </c>
      <c r="F35" s="6" t="s">
        <v>35</v>
      </c>
      <c r="G35" s="6" t="s">
        <v>58</v>
      </c>
      <c r="H35" s="6" t="s">
        <v>59</v>
      </c>
    </row>
    <row r="36" customFormat="false" ht="15" hidden="false" customHeight="false" outlineLevel="0" collapsed="false">
      <c r="A36" s="9" t="s">
        <v>41</v>
      </c>
      <c r="B36" s="16" t="n">
        <v>1</v>
      </c>
      <c r="C36" s="17" t="n">
        <v>1</v>
      </c>
      <c r="D36" s="17" t="n">
        <v>1</v>
      </c>
      <c r="E36" s="17" t="n">
        <f aca="false">1/4</f>
        <v>0.25</v>
      </c>
      <c r="F36" s="17" t="n">
        <f aca="false">1/2</f>
        <v>0.5</v>
      </c>
      <c r="G36" s="11" t="n">
        <f aca="false">GEOMEAN(B36:F36)</f>
        <v>0.659753955386447</v>
      </c>
      <c r="H36" s="18" t="n">
        <f aca="false">G36/SUM(G$36:G$40)</f>
        <v>0.112820602828346</v>
      </c>
    </row>
    <row r="37" customFormat="false" ht="15" hidden="false" customHeight="false" outlineLevel="0" collapsed="false">
      <c r="A37" s="9" t="s">
        <v>42</v>
      </c>
      <c r="B37" s="16" t="n">
        <f aca="false">1/C36</f>
        <v>1</v>
      </c>
      <c r="C37" s="16" t="n">
        <v>1</v>
      </c>
      <c r="D37" s="17" t="n">
        <f aca="false">1/2</f>
        <v>0.5</v>
      </c>
      <c r="E37" s="17" t="n">
        <f aca="false">1/4</f>
        <v>0.25</v>
      </c>
      <c r="F37" s="17" t="n">
        <f aca="false">1/2</f>
        <v>0.5</v>
      </c>
      <c r="G37" s="11" t="n">
        <f aca="false">GEOMEAN(B37:F37)</f>
        <v>0.574349177498518</v>
      </c>
      <c r="H37" s="18" t="n">
        <f aca="false">G37/SUM(G$36:G$40)</f>
        <v>0.0982160393436248</v>
      </c>
    </row>
    <row r="38" customFormat="false" ht="15" hidden="false" customHeight="false" outlineLevel="0" collapsed="false">
      <c r="A38" s="9" t="s">
        <v>43</v>
      </c>
      <c r="B38" s="16" t="n">
        <f aca="false">1/D36</f>
        <v>1</v>
      </c>
      <c r="C38" s="16" t="n">
        <f aca="false">1/D37</f>
        <v>2</v>
      </c>
      <c r="D38" s="16" t="n">
        <v>1</v>
      </c>
      <c r="E38" s="17" t="n">
        <f aca="false">1/3</f>
        <v>0.333333333333333</v>
      </c>
      <c r="F38" s="17" t="n">
        <f aca="false">1/2</f>
        <v>0.5</v>
      </c>
      <c r="G38" s="11" t="n">
        <f aca="false">GEOMEAN(B38:F38)</f>
        <v>0.802741561760231</v>
      </c>
      <c r="H38" s="18" t="n">
        <f aca="false">G38/SUM(G$36:G$40)</f>
        <v>0.137272063583323</v>
      </c>
    </row>
    <row r="39" customFormat="false" ht="15" hidden="false" customHeight="false" outlineLevel="0" collapsed="false">
      <c r="A39" s="9" t="s">
        <v>44</v>
      </c>
      <c r="B39" s="16" t="n">
        <f aca="false">1/E36</f>
        <v>4</v>
      </c>
      <c r="C39" s="16" t="n">
        <f aca="false">1/E37</f>
        <v>4</v>
      </c>
      <c r="D39" s="16" t="n">
        <f aca="false">1/E38</f>
        <v>3</v>
      </c>
      <c r="E39" s="16" t="n">
        <v>1</v>
      </c>
      <c r="F39" s="17" t="n">
        <v>2</v>
      </c>
      <c r="G39" s="11" t="n">
        <f aca="false">GEOMEAN(B39:F39)</f>
        <v>2.49146187923104</v>
      </c>
      <c r="H39" s="18" t="n">
        <f aca="false">G39/SUM(G$36:G$40)</f>
        <v>0.426050088588015</v>
      </c>
    </row>
    <row r="40" customFormat="false" ht="15" hidden="false" customHeight="false" outlineLevel="0" collapsed="false">
      <c r="A40" s="9" t="s">
        <v>45</v>
      </c>
      <c r="B40" s="16" t="n">
        <f aca="false">1/F36</f>
        <v>2</v>
      </c>
      <c r="C40" s="16" t="n">
        <f aca="false">1/F37</f>
        <v>2</v>
      </c>
      <c r="D40" s="16" t="n">
        <f aca="false">1/F38</f>
        <v>2</v>
      </c>
      <c r="E40" s="16" t="n">
        <f aca="false">1/F39</f>
        <v>0.5</v>
      </c>
      <c r="F40" s="16" t="n">
        <v>1</v>
      </c>
      <c r="G40" s="11" t="n">
        <f aca="false">GEOMEAN(B40:F40)</f>
        <v>1.31950791077289</v>
      </c>
      <c r="H40" s="18" t="n">
        <f aca="false">G40/SUM(G$36:G$40)</f>
        <v>0.225641205656692</v>
      </c>
    </row>
    <row r="41" customFormat="false" ht="15" hidden="false" customHeight="false" outlineLevel="0" collapsed="false">
      <c r="A41" s="9" t="s">
        <v>66</v>
      </c>
      <c r="B41" s="11" t="n">
        <f aca="false">SUM(B36:B40)</f>
        <v>9</v>
      </c>
      <c r="C41" s="11" t="n">
        <f aca="false">SUM(C36:C40)</f>
        <v>10</v>
      </c>
      <c r="D41" s="11" t="n">
        <f aca="false">SUM(D36:D40)</f>
        <v>7.5</v>
      </c>
      <c r="E41" s="11" t="n">
        <f aca="false">SUM(E36:E40)</f>
        <v>2.33333333333333</v>
      </c>
      <c r="F41" s="11" t="n">
        <f aca="false">SUM(F36:F40)</f>
        <v>4.5</v>
      </c>
    </row>
    <row r="42" customFormat="false" ht="15" hidden="false" customHeight="false" outlineLevel="0" collapsed="false">
      <c r="A42" s="9" t="s">
        <v>67</v>
      </c>
      <c r="B42" s="11" t="n">
        <f aca="false">H36</f>
        <v>0.112820602828346</v>
      </c>
      <c r="C42" s="11" t="n">
        <f aca="false">H37</f>
        <v>0.0982160393436248</v>
      </c>
      <c r="D42" s="11" t="n">
        <f aca="false">H38</f>
        <v>0.137272063583323</v>
      </c>
      <c r="E42" s="11" t="n">
        <f aca="false">H39</f>
        <v>0.426050088588015</v>
      </c>
      <c r="F42" s="11" t="n">
        <f aca="false">H40</f>
        <v>0.225641205656692</v>
      </c>
    </row>
    <row r="43" customFormat="false" ht="15" hidden="false" customHeight="false" outlineLevel="0" collapsed="false">
      <c r="A43" s="9" t="s">
        <v>68</v>
      </c>
      <c r="B43" s="11" t="n">
        <f aca="false">SUMPRODUCT(B41:F41,B42:F42)</f>
        <v>5.03658859459343</v>
      </c>
    </row>
    <row r="44" customFormat="false" ht="15" hidden="false" customHeight="false" outlineLevel="0" collapsed="false">
      <c r="A44" s="9" t="s">
        <v>69</v>
      </c>
      <c r="B44" s="11" t="n">
        <f aca="false">(B43-5)/(5-1)</f>
        <v>0.0091471486483572</v>
      </c>
    </row>
    <row r="45" customFormat="false" ht="15" hidden="false" customHeight="false" outlineLevel="0" collapsed="false">
      <c r="A45" s="9" t="s">
        <v>70</v>
      </c>
      <c r="B45" s="19" t="n">
        <v>1.12</v>
      </c>
    </row>
    <row r="46" customFormat="false" ht="15" hidden="false" customHeight="false" outlineLevel="0" collapsed="false">
      <c r="A46" s="9" t="s">
        <v>71</v>
      </c>
      <c r="B46" s="20" t="n">
        <f aca="false">B44/B45</f>
        <v>0.00816709700746178</v>
      </c>
    </row>
    <row r="49" customFormat="false" ht="15" hidden="false" customHeight="false" outlineLevel="0" collapsed="false">
      <c r="A49" s="4" t="s">
        <v>74</v>
      </c>
    </row>
    <row r="50" customFormat="false" ht="23.85" hidden="false" customHeight="false" outlineLevel="0" collapsed="false">
      <c r="A50" s="6"/>
      <c r="B50" s="6" t="s">
        <v>27</v>
      </c>
      <c r="C50" s="6" t="s">
        <v>29</v>
      </c>
      <c r="D50" s="6" t="s">
        <v>31</v>
      </c>
      <c r="E50" s="6" t="s">
        <v>33</v>
      </c>
      <c r="F50" s="6" t="s">
        <v>35</v>
      </c>
      <c r="G50" s="6" t="s">
        <v>58</v>
      </c>
      <c r="H50" s="6" t="s">
        <v>59</v>
      </c>
    </row>
    <row r="51" customFormat="false" ht="15" hidden="false" customHeight="false" outlineLevel="0" collapsed="false">
      <c r="A51" s="9" t="s">
        <v>41</v>
      </c>
      <c r="B51" s="11" t="n">
        <f aca="false">GEOMEAN(B6,B21,B36)</f>
        <v>1</v>
      </c>
      <c r="C51" s="11" t="n">
        <f aca="false">GEOMEAN(C6,C21,C36)</f>
        <v>1.25992104989487</v>
      </c>
      <c r="D51" s="11" t="n">
        <f aca="false">GEOMEAN(D6,D21,D36)</f>
        <v>1</v>
      </c>
      <c r="E51" s="11" t="n">
        <f aca="false">GEOMEAN(E6,E21,E36)</f>
        <v>0.39685026299205</v>
      </c>
      <c r="F51" s="11" t="n">
        <f aca="false">GEOMEAN(F6,F21,F36)</f>
        <v>0.5</v>
      </c>
      <c r="G51" s="11" t="n">
        <f aca="false">GEOMEAN(B51:F51)</f>
        <v>0.757858283255199</v>
      </c>
      <c r="H51" s="18" t="n">
        <f aca="false">G51/SUM(G$51:G$55)</f>
        <v>0.138680597813672</v>
      </c>
    </row>
    <row r="52" customFormat="false" ht="15" hidden="false" customHeight="false" outlineLevel="0" collapsed="false">
      <c r="A52" s="9" t="s">
        <v>42</v>
      </c>
      <c r="B52" s="11" t="n">
        <f aca="false">GEOMEAN(B7,B22,B37)</f>
        <v>0.7937005259841</v>
      </c>
      <c r="C52" s="11" t="n">
        <f aca="false">GEOMEAN(C7,C22,C37)</f>
        <v>1</v>
      </c>
      <c r="D52" s="11" t="n">
        <f aca="false">GEOMEAN(D7,D22,D37)</f>
        <v>0.5</v>
      </c>
      <c r="E52" s="11" t="n">
        <f aca="false">GEOMEAN(E7,E22,E37)</f>
        <v>0.30285343213869</v>
      </c>
      <c r="F52" s="11" t="n">
        <f aca="false">GEOMEAN(F7,F22,F37)</f>
        <v>0.5</v>
      </c>
      <c r="G52" s="11" t="n">
        <f aca="false">GEOMEAN(B52:F52)</f>
        <v>0.569856931615126</v>
      </c>
      <c r="H52" s="18" t="n">
        <f aca="false">G52/SUM(G$51:G$55)</f>
        <v>0.104278203050317</v>
      </c>
    </row>
    <row r="53" customFormat="false" ht="15" hidden="false" customHeight="false" outlineLevel="0" collapsed="false">
      <c r="A53" s="9" t="s">
        <v>43</v>
      </c>
      <c r="B53" s="11" t="n">
        <f aca="false">GEOMEAN(B8,B23,B38)</f>
        <v>1</v>
      </c>
      <c r="C53" s="11" t="n">
        <f aca="false">GEOMEAN(C8,C23,C38)</f>
        <v>2</v>
      </c>
      <c r="D53" s="11" t="n">
        <f aca="false">GEOMEAN(D8,D23,D38)</f>
        <v>1</v>
      </c>
      <c r="E53" s="11" t="n">
        <f aca="false">GEOMEAN(E8,E23,E38)</f>
        <v>0.436790232368149</v>
      </c>
      <c r="F53" s="11" t="n">
        <f aca="false">GEOMEAN(F8,F23,F38)</f>
        <v>0.7937005259841</v>
      </c>
      <c r="G53" s="11" t="n">
        <f aca="false">GEOMEAN(B53:F53)</f>
        <v>0.929376991209611</v>
      </c>
      <c r="H53" s="18" t="n">
        <f aca="false">G53/SUM(G$51:G$55)</f>
        <v>0.170066831204403</v>
      </c>
    </row>
    <row r="54" customFormat="false" ht="15" hidden="false" customHeight="false" outlineLevel="0" collapsed="false">
      <c r="A54" s="9" t="s">
        <v>44</v>
      </c>
      <c r="B54" s="11" t="n">
        <f aca="false">GEOMEAN(B9,B24,B39)</f>
        <v>2.51984209978975</v>
      </c>
      <c r="C54" s="11" t="n">
        <f aca="false">GEOMEAN(C9,C24,C39)</f>
        <v>3.30192724889463</v>
      </c>
      <c r="D54" s="11" t="n">
        <f aca="false">GEOMEAN(D9,D24,D39)</f>
        <v>2.28942848510666</v>
      </c>
      <c r="E54" s="11" t="n">
        <f aca="false">GEOMEAN(E9,E24,E39)</f>
        <v>1</v>
      </c>
      <c r="F54" s="11" t="n">
        <f aca="false">GEOMEAN(F9,F24,F39)</f>
        <v>1.25992104989487</v>
      </c>
      <c r="G54" s="11" t="n">
        <f aca="false">GEOMEAN(B54:F54)</f>
        <v>1.8881750225898</v>
      </c>
      <c r="H54" s="18" t="n">
        <f aca="false">G54/SUM(G$51:G$55)</f>
        <v>0.345517422841735</v>
      </c>
    </row>
    <row r="55" customFormat="false" ht="15" hidden="false" customHeight="false" outlineLevel="0" collapsed="false">
      <c r="A55" s="9" t="s">
        <v>45</v>
      </c>
      <c r="B55" s="11" t="n">
        <f aca="false">GEOMEAN(B10,B25,B40)</f>
        <v>2</v>
      </c>
      <c r="C55" s="11" t="n">
        <f aca="false">GEOMEAN(C10,C25,C40)</f>
        <v>2</v>
      </c>
      <c r="D55" s="11" t="n">
        <f aca="false">GEOMEAN(D10,D25,D40)</f>
        <v>1.25992104989487</v>
      </c>
      <c r="E55" s="11" t="n">
        <f aca="false">GEOMEAN(E10,E25,E40)</f>
        <v>0.7937005259841</v>
      </c>
      <c r="F55" s="11" t="n">
        <f aca="false">GEOMEAN(F10,F25,F40)</f>
        <v>1</v>
      </c>
      <c r="G55" s="11" t="n">
        <f aca="false">GEOMEAN(B55:F55)</f>
        <v>1.31950791077289</v>
      </c>
      <c r="H55" s="18" t="n">
        <f aca="false">G55/SUM(G$51:G$55)</f>
        <v>0.241456945089871</v>
      </c>
    </row>
    <row r="56" customFormat="false" ht="15" hidden="false" customHeight="false" outlineLevel="0" collapsed="false">
      <c r="A56" s="9" t="s">
        <v>66</v>
      </c>
      <c r="B56" s="11" t="n">
        <f aca="false">SUM(B51:B55)</f>
        <v>7.31354262577385</v>
      </c>
      <c r="C56" s="11" t="n">
        <f aca="false">SUM(C51:C55)</f>
        <v>9.5618482987895</v>
      </c>
      <c r="D56" s="11" t="n">
        <f aca="false">SUM(D51:D55)</f>
        <v>6.04934953500154</v>
      </c>
      <c r="E56" s="11" t="n">
        <f aca="false">SUM(E51:E55)</f>
        <v>2.93019445348299</v>
      </c>
      <c r="F56" s="11" t="n">
        <f aca="false">SUM(F51:F55)</f>
        <v>4.05362157587897</v>
      </c>
    </row>
    <row r="57" customFormat="false" ht="15" hidden="false" customHeight="false" outlineLevel="0" collapsed="false">
      <c r="A57" s="9" t="s">
        <v>67</v>
      </c>
      <c r="B57" s="11" t="n">
        <f aca="false">H51</f>
        <v>0.138680597813672</v>
      </c>
      <c r="C57" s="11" t="n">
        <f aca="false">H52</f>
        <v>0.104278203050317</v>
      </c>
      <c r="D57" s="11" t="n">
        <f aca="false">H53</f>
        <v>0.170066831204403</v>
      </c>
      <c r="E57" s="11" t="n">
        <f aca="false">H54</f>
        <v>0.345517422841735</v>
      </c>
      <c r="F57" s="11" t="n">
        <f aca="false">H55</f>
        <v>0.241456945089871</v>
      </c>
    </row>
    <row r="58" customFormat="false" ht="15" hidden="false" customHeight="false" outlineLevel="0" collapsed="false">
      <c r="A58" s="9" t="s">
        <v>68</v>
      </c>
      <c r="B58" s="11" t="n">
        <f aca="false">SUMPRODUCT(B56:F56,B57:F57)</f>
        <v>5.03134084643585</v>
      </c>
    </row>
    <row r="59" customFormat="false" ht="15" hidden="false" customHeight="false" outlineLevel="0" collapsed="false">
      <c r="A59" s="9" t="s">
        <v>69</v>
      </c>
      <c r="B59" s="11" t="n">
        <f aca="false">(B58-5)/(5-1)</f>
        <v>0.0078352116089635</v>
      </c>
    </row>
    <row r="60" customFormat="false" ht="15" hidden="false" customHeight="false" outlineLevel="0" collapsed="false">
      <c r="A60" s="9" t="s">
        <v>70</v>
      </c>
      <c r="B60" s="19" t="n">
        <v>1.12</v>
      </c>
    </row>
    <row r="61" customFormat="false" ht="15" hidden="false" customHeight="false" outlineLevel="0" collapsed="false">
      <c r="A61" s="9" t="s">
        <v>71</v>
      </c>
      <c r="B61" s="20" t="n">
        <f aca="false">B59/B60</f>
        <v>0.00699572465086027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5" activeCellId="0" sqref="A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1"/>
    <col collapsed="false" customWidth="true" hidden="false" outlineLevel="0" max="8" min="7" style="1" width="14"/>
  </cols>
  <sheetData>
    <row r="1" customFormat="false" ht="17.35" hidden="false" customHeight="false" outlineLevel="0" collapsed="false">
      <c r="A1" s="2" t="s">
        <v>79</v>
      </c>
    </row>
    <row r="2" customFormat="false" ht="15" hidden="false" customHeight="false" outlineLevel="0" collapsed="false">
      <c r="A2" s="3" t="s">
        <v>78</v>
      </c>
    </row>
    <row r="4" customFormat="false" ht="15" hidden="false" customHeight="false" outlineLevel="0" collapsed="false">
      <c r="A4" s="4" t="s">
        <v>57</v>
      </c>
    </row>
    <row r="5" customFormat="false" ht="23.85" hidden="false" customHeight="false" outlineLevel="0" collapsed="false">
      <c r="A5" s="6"/>
      <c r="B5" s="6" t="s">
        <v>27</v>
      </c>
      <c r="C5" s="6" t="s">
        <v>29</v>
      </c>
      <c r="D5" s="6" t="s">
        <v>31</v>
      </c>
      <c r="E5" s="6" t="s">
        <v>33</v>
      </c>
      <c r="F5" s="6" t="s">
        <v>35</v>
      </c>
      <c r="G5" s="6" t="s">
        <v>58</v>
      </c>
      <c r="H5" s="6" t="s">
        <v>59</v>
      </c>
    </row>
    <row r="6" customFormat="false" ht="15" hidden="false" customHeight="false" outlineLevel="0" collapsed="false">
      <c r="A6" s="9" t="s">
        <v>41</v>
      </c>
      <c r="B6" s="16" t="n">
        <v>1</v>
      </c>
      <c r="C6" s="17" t="n">
        <v>2</v>
      </c>
      <c r="D6" s="17" t="n">
        <f aca="false">1/2</f>
        <v>0.5</v>
      </c>
      <c r="E6" s="17" t="n">
        <v>1</v>
      </c>
      <c r="F6" s="17" t="n">
        <f aca="false">1/2</f>
        <v>0.5</v>
      </c>
      <c r="G6" s="11" t="n">
        <f aca="false">GEOMEAN(B6:F6)</f>
        <v>0.870550563296124</v>
      </c>
      <c r="H6" s="18" t="n">
        <f aca="false">G6/SUM(G$6:G$10)</f>
        <v>0.16212739304365</v>
      </c>
    </row>
    <row r="7" customFormat="false" ht="15" hidden="false" customHeight="false" outlineLevel="0" collapsed="false">
      <c r="A7" s="9" t="s">
        <v>42</v>
      </c>
      <c r="B7" s="16" t="n">
        <f aca="false">1/C6</f>
        <v>0.5</v>
      </c>
      <c r="C7" s="16" t="n">
        <v>1</v>
      </c>
      <c r="D7" s="17" t="n">
        <f aca="false">1/3</f>
        <v>0.333333333333333</v>
      </c>
      <c r="E7" s="17" t="n">
        <f aca="false">1/2</f>
        <v>0.5</v>
      </c>
      <c r="F7" s="17" t="n">
        <f aca="false">1/3</f>
        <v>0.333333333333333</v>
      </c>
      <c r="G7" s="11" t="n">
        <f aca="false">GEOMEAN(B7:F7)</f>
        <v>0.488359341930587</v>
      </c>
      <c r="H7" s="18" t="n">
        <f aca="false">G7/SUM(G$6:G$10)</f>
        <v>0.0909498314215508</v>
      </c>
    </row>
    <row r="8" customFormat="false" ht="15" hidden="false" customHeight="false" outlineLevel="0" collapsed="false">
      <c r="A8" s="9" t="s">
        <v>43</v>
      </c>
      <c r="B8" s="16" t="n">
        <f aca="false">1/D6</f>
        <v>2</v>
      </c>
      <c r="C8" s="16" t="n">
        <f aca="false">1/D7</f>
        <v>3</v>
      </c>
      <c r="D8" s="16" t="n">
        <v>1</v>
      </c>
      <c r="E8" s="17" t="n">
        <v>1</v>
      </c>
      <c r="F8" s="17" t="n">
        <v>1</v>
      </c>
      <c r="G8" s="11" t="n">
        <f aca="false">GEOMEAN(B8:F8)</f>
        <v>1.43096908110526</v>
      </c>
      <c r="H8" s="18" t="n">
        <f aca="false">G8/SUM(G$6:G$10)</f>
        <v>0.266497198930358</v>
      </c>
    </row>
    <row r="9" customFormat="false" ht="15" hidden="false" customHeight="false" outlineLevel="0" collapsed="false">
      <c r="A9" s="9" t="s">
        <v>44</v>
      </c>
      <c r="B9" s="16" t="n">
        <f aca="false">1/E6</f>
        <v>1</v>
      </c>
      <c r="C9" s="16" t="n">
        <f aca="false">1/E7</f>
        <v>2</v>
      </c>
      <c r="D9" s="16" t="n">
        <f aca="false">1/E8</f>
        <v>1</v>
      </c>
      <c r="E9" s="16" t="n">
        <v>1</v>
      </c>
      <c r="F9" s="17" t="n">
        <v>1</v>
      </c>
      <c r="G9" s="11" t="n">
        <f aca="false">GEOMEAN(B9:F9)</f>
        <v>1.14869835499704</v>
      </c>
      <c r="H9" s="18" t="n">
        <f aca="false">G9/SUM(G$6:G$10)</f>
        <v>0.213928377674083</v>
      </c>
    </row>
    <row r="10" customFormat="false" ht="15" hidden="false" customHeight="false" outlineLevel="0" collapsed="false">
      <c r="A10" s="9" t="s">
        <v>45</v>
      </c>
      <c r="B10" s="16" t="n">
        <f aca="false">1/F6</f>
        <v>2</v>
      </c>
      <c r="C10" s="16" t="n">
        <f aca="false">1/F7</f>
        <v>3</v>
      </c>
      <c r="D10" s="16" t="n">
        <f aca="false">1/F8</f>
        <v>1</v>
      </c>
      <c r="E10" s="16" t="n">
        <f aca="false">1/F9</f>
        <v>1</v>
      </c>
      <c r="F10" s="16" t="n">
        <v>1</v>
      </c>
      <c r="G10" s="11" t="n">
        <f aca="false">GEOMEAN(B10:F10)</f>
        <v>1.43096908110526</v>
      </c>
      <c r="H10" s="18" t="n">
        <f aca="false">G10/SUM(G$6:G$10)</f>
        <v>0.266497198930358</v>
      </c>
    </row>
    <row r="11" customFormat="false" ht="15" hidden="false" customHeight="false" outlineLevel="0" collapsed="false">
      <c r="A11" s="9" t="s">
        <v>66</v>
      </c>
      <c r="B11" s="11" t="n">
        <f aca="false">SUM(B6:B10)</f>
        <v>6.5</v>
      </c>
      <c r="C11" s="11" t="n">
        <f aca="false">SUM(C6:C10)</f>
        <v>11</v>
      </c>
      <c r="D11" s="11" t="n">
        <f aca="false">SUM(D6:D10)</f>
        <v>3.83333333333333</v>
      </c>
      <c r="E11" s="11" t="n">
        <f aca="false">SUM(E6:E10)</f>
        <v>4.5</v>
      </c>
      <c r="F11" s="11" t="n">
        <f aca="false">SUM(F6:F10)</f>
        <v>3.83333333333333</v>
      </c>
    </row>
    <row r="12" customFormat="false" ht="15" hidden="false" customHeight="false" outlineLevel="0" collapsed="false">
      <c r="A12" s="9" t="s">
        <v>67</v>
      </c>
      <c r="B12" s="11" t="n">
        <f aca="false">H6</f>
        <v>0.16212739304365</v>
      </c>
      <c r="C12" s="11" t="n">
        <f aca="false">H7</f>
        <v>0.0909498314215508</v>
      </c>
      <c r="D12" s="11" t="n">
        <f aca="false">H8</f>
        <v>0.266497198930358</v>
      </c>
      <c r="E12" s="11" t="n">
        <f aca="false">H9</f>
        <v>0.213928377674083</v>
      </c>
      <c r="F12" s="11" t="n">
        <f aca="false">H10</f>
        <v>0.266497198930358</v>
      </c>
    </row>
    <row r="13" customFormat="false" ht="15" hidden="false" customHeight="false" outlineLevel="0" collapsed="false">
      <c r="A13" s="9" t="s">
        <v>68</v>
      </c>
      <c r="B13" s="11" t="n">
        <f aca="false">SUMPRODUCT(B11:F11,B12:F12)</f>
        <v>5.06009909175357</v>
      </c>
    </row>
    <row r="14" customFormat="false" ht="15" hidden="false" customHeight="false" outlineLevel="0" collapsed="false">
      <c r="A14" s="9" t="s">
        <v>69</v>
      </c>
      <c r="B14" s="11" t="n">
        <f aca="false">(B13-5)/(5-1)</f>
        <v>0.0150247729383921</v>
      </c>
    </row>
    <row r="15" customFormat="false" ht="15" hidden="false" customHeight="false" outlineLevel="0" collapsed="false">
      <c r="A15" s="9" t="s">
        <v>70</v>
      </c>
      <c r="B15" s="19" t="n">
        <v>1.12</v>
      </c>
    </row>
    <row r="16" customFormat="false" ht="15" hidden="false" customHeight="false" outlineLevel="0" collapsed="false">
      <c r="A16" s="9" t="s">
        <v>71</v>
      </c>
      <c r="B16" s="20" t="n">
        <f aca="false">B14/B15</f>
        <v>0.0134149758378501</v>
      </c>
    </row>
    <row r="19" customFormat="false" ht="15" hidden="false" customHeight="false" outlineLevel="0" collapsed="false">
      <c r="A19" s="4" t="s">
        <v>72</v>
      </c>
    </row>
    <row r="20" customFormat="false" ht="23.85" hidden="false" customHeight="false" outlineLevel="0" collapsed="false">
      <c r="A20" s="6"/>
      <c r="B20" s="6" t="s">
        <v>27</v>
      </c>
      <c r="C20" s="6" t="s">
        <v>29</v>
      </c>
      <c r="D20" s="6" t="s">
        <v>31</v>
      </c>
      <c r="E20" s="6" t="s">
        <v>33</v>
      </c>
      <c r="F20" s="6" t="s">
        <v>35</v>
      </c>
      <c r="G20" s="6" t="s">
        <v>58</v>
      </c>
      <c r="H20" s="6" t="s">
        <v>59</v>
      </c>
    </row>
    <row r="21" customFormat="false" ht="15" hidden="false" customHeight="false" outlineLevel="0" collapsed="false">
      <c r="A21" s="9" t="s">
        <v>41</v>
      </c>
      <c r="B21" s="16" t="n">
        <v>1</v>
      </c>
      <c r="C21" s="17" t="n">
        <v>2</v>
      </c>
      <c r="D21" s="17" t="n">
        <v>1</v>
      </c>
      <c r="E21" s="17" t="n">
        <v>1</v>
      </c>
      <c r="F21" s="17" t="n">
        <f aca="false">1/2</f>
        <v>0.5</v>
      </c>
      <c r="G21" s="11" t="n">
        <f aca="false">GEOMEAN(B21:F21)</f>
        <v>1</v>
      </c>
      <c r="H21" s="18" t="n">
        <f aca="false">G21/SUM(G$21:G$25)</f>
        <v>0.19018718884816</v>
      </c>
    </row>
    <row r="22" customFormat="false" ht="15" hidden="false" customHeight="false" outlineLevel="0" collapsed="false">
      <c r="A22" s="9" t="s">
        <v>42</v>
      </c>
      <c r="B22" s="16" t="n">
        <f aca="false">1/C21</f>
        <v>0.5</v>
      </c>
      <c r="C22" s="16" t="n">
        <v>1</v>
      </c>
      <c r="D22" s="17" t="n">
        <f aca="false">1/2</f>
        <v>0.5</v>
      </c>
      <c r="E22" s="17" t="n">
        <f aca="false">1/2</f>
        <v>0.5</v>
      </c>
      <c r="F22" s="17" t="n">
        <f aca="false">1/3</f>
        <v>0.333333333333333</v>
      </c>
      <c r="G22" s="11" t="n">
        <f aca="false">GEOMEAN(B22:F22)</f>
        <v>0.529611920524406</v>
      </c>
      <c r="H22" s="18" t="n">
        <f aca="false">G22/SUM(G$21:G$25)</f>
        <v>0.100725402345012</v>
      </c>
    </row>
    <row r="23" customFormat="false" ht="15" hidden="false" customHeight="false" outlineLevel="0" collapsed="false">
      <c r="A23" s="9" t="s">
        <v>43</v>
      </c>
      <c r="B23" s="16" t="n">
        <f aca="false">1/D21</f>
        <v>1</v>
      </c>
      <c r="C23" s="16" t="n">
        <f aca="false">1/D22</f>
        <v>2</v>
      </c>
      <c r="D23" s="16" t="n">
        <v>1</v>
      </c>
      <c r="E23" s="17" t="n">
        <v>1</v>
      </c>
      <c r="F23" s="17" t="n">
        <v>1</v>
      </c>
      <c r="G23" s="11" t="n">
        <f aca="false">GEOMEAN(B23:F23)</f>
        <v>1.14869835499704</v>
      </c>
      <c r="H23" s="18" t="n">
        <f aca="false">G23/SUM(G$21:G$25)</f>
        <v>0.218467710971392</v>
      </c>
    </row>
    <row r="24" customFormat="false" ht="15" hidden="false" customHeight="false" outlineLevel="0" collapsed="false">
      <c r="A24" s="9" t="s">
        <v>44</v>
      </c>
      <c r="B24" s="16" t="n">
        <f aca="false">1/E21</f>
        <v>1</v>
      </c>
      <c r="C24" s="16" t="n">
        <f aca="false">1/E22</f>
        <v>2</v>
      </c>
      <c r="D24" s="16" t="n">
        <f aca="false">1/E23</f>
        <v>1</v>
      </c>
      <c r="E24" s="16" t="n">
        <v>1</v>
      </c>
      <c r="F24" s="17" t="n">
        <v>1</v>
      </c>
      <c r="G24" s="11" t="n">
        <f aca="false">GEOMEAN(B24:F24)</f>
        <v>1.14869835499704</v>
      </c>
      <c r="H24" s="18" t="n">
        <f aca="false">G24/SUM(G$21:G$25)</f>
        <v>0.218467710971392</v>
      </c>
    </row>
    <row r="25" customFormat="false" ht="15" hidden="false" customHeight="false" outlineLevel="0" collapsed="false">
      <c r="A25" s="9" t="s">
        <v>45</v>
      </c>
      <c r="B25" s="16" t="n">
        <f aca="false">1/F21</f>
        <v>2</v>
      </c>
      <c r="C25" s="16" t="n">
        <f aca="false">1/F22</f>
        <v>3</v>
      </c>
      <c r="D25" s="16" t="n">
        <f aca="false">1/F23</f>
        <v>1</v>
      </c>
      <c r="E25" s="16" t="n">
        <f aca="false">1/F24</f>
        <v>1</v>
      </c>
      <c r="F25" s="16" t="n">
        <v>1</v>
      </c>
      <c r="G25" s="11" t="n">
        <f aca="false">GEOMEAN(B25:F25)</f>
        <v>1.43096908110526</v>
      </c>
      <c r="H25" s="18" t="n">
        <f aca="false">G25/SUM(G$21:G$25)</f>
        <v>0.272151986864044</v>
      </c>
    </row>
    <row r="26" customFormat="false" ht="15" hidden="false" customHeight="false" outlineLevel="0" collapsed="false">
      <c r="A26" s="9" t="s">
        <v>66</v>
      </c>
      <c r="B26" s="11" t="n">
        <f aca="false">SUM(B21:B25)</f>
        <v>5.5</v>
      </c>
      <c r="C26" s="11" t="n">
        <f aca="false">SUM(C21:C25)</f>
        <v>10</v>
      </c>
      <c r="D26" s="11" t="n">
        <f aca="false">SUM(D21:D25)</f>
        <v>4.5</v>
      </c>
      <c r="E26" s="11" t="n">
        <f aca="false">SUM(E21:E25)</f>
        <v>4.5</v>
      </c>
      <c r="F26" s="11" t="n">
        <f aca="false">SUM(F21:F25)</f>
        <v>3.83333333333333</v>
      </c>
    </row>
    <row r="27" customFormat="false" ht="15" hidden="false" customHeight="false" outlineLevel="0" collapsed="false">
      <c r="A27" s="9" t="s">
        <v>67</v>
      </c>
      <c r="B27" s="11" t="n">
        <f aca="false">H21</f>
        <v>0.19018718884816</v>
      </c>
      <c r="C27" s="11" t="n">
        <f aca="false">H22</f>
        <v>0.100725402345012</v>
      </c>
      <c r="D27" s="11" t="n">
        <f aca="false">H23</f>
        <v>0.218467710971392</v>
      </c>
      <c r="E27" s="11" t="n">
        <f aca="false">H24</f>
        <v>0.218467710971392</v>
      </c>
      <c r="F27" s="11" t="n">
        <f aca="false">H25</f>
        <v>0.272151986864044</v>
      </c>
    </row>
    <row r="28" customFormat="false" ht="15" hidden="false" customHeight="false" outlineLevel="0" collapsed="false">
      <c r="A28" s="9" t="s">
        <v>68</v>
      </c>
      <c r="B28" s="11" t="n">
        <f aca="false">SUMPRODUCT(B26:F26,B27:F27)</f>
        <v>5.06274224383636</v>
      </c>
    </row>
    <row r="29" customFormat="false" ht="15" hidden="false" customHeight="false" outlineLevel="0" collapsed="false">
      <c r="A29" s="9" t="s">
        <v>69</v>
      </c>
      <c r="B29" s="11" t="n">
        <f aca="false">(B28-5)/(5-1)</f>
        <v>0.0156855609590911</v>
      </c>
    </row>
    <row r="30" customFormat="false" ht="15" hidden="false" customHeight="false" outlineLevel="0" collapsed="false">
      <c r="A30" s="9" t="s">
        <v>70</v>
      </c>
      <c r="B30" s="19" t="n">
        <v>1.12</v>
      </c>
    </row>
    <row r="31" customFormat="false" ht="15" hidden="false" customHeight="false" outlineLevel="0" collapsed="false">
      <c r="A31" s="9" t="s">
        <v>71</v>
      </c>
      <c r="B31" s="20" t="n">
        <f aca="false">B29/B30</f>
        <v>0.0140049651420456</v>
      </c>
    </row>
    <row r="34" customFormat="false" ht="15" hidden="false" customHeight="false" outlineLevel="0" collapsed="false">
      <c r="A34" s="4" t="s">
        <v>73</v>
      </c>
    </row>
    <row r="35" customFormat="false" ht="23.85" hidden="false" customHeight="false" outlineLevel="0" collapsed="false">
      <c r="A35" s="6"/>
      <c r="B35" s="6" t="s">
        <v>27</v>
      </c>
      <c r="C35" s="6" t="s">
        <v>29</v>
      </c>
      <c r="D35" s="6" t="s">
        <v>31</v>
      </c>
      <c r="E35" s="6" t="s">
        <v>33</v>
      </c>
      <c r="F35" s="6" t="s">
        <v>35</v>
      </c>
      <c r="G35" s="6" t="s">
        <v>58</v>
      </c>
      <c r="H35" s="6" t="s">
        <v>59</v>
      </c>
    </row>
    <row r="36" customFormat="false" ht="15" hidden="false" customHeight="false" outlineLevel="0" collapsed="false">
      <c r="A36" s="9" t="s">
        <v>41</v>
      </c>
      <c r="B36" s="16" t="n">
        <v>1</v>
      </c>
      <c r="C36" s="17" t="n">
        <v>1</v>
      </c>
      <c r="D36" s="17" t="n">
        <v>1</v>
      </c>
      <c r="E36" s="17" t="n">
        <f aca="false">1/2</f>
        <v>0.5</v>
      </c>
      <c r="F36" s="17" t="n">
        <f aca="false">1/2</f>
        <v>0.5</v>
      </c>
      <c r="G36" s="11" t="n">
        <f aca="false">GEOMEAN(B36:F36)</f>
        <v>0.757858283255199</v>
      </c>
      <c r="H36" s="18" t="n">
        <f aca="false">G36/SUM(G$36:G$40)</f>
        <v>0.138373834862358</v>
      </c>
    </row>
    <row r="37" customFormat="false" ht="15" hidden="false" customHeight="false" outlineLevel="0" collapsed="false">
      <c r="A37" s="9" t="s">
        <v>42</v>
      </c>
      <c r="B37" s="16" t="n">
        <f aca="false">1/C36</f>
        <v>1</v>
      </c>
      <c r="C37" s="16" t="n">
        <v>1</v>
      </c>
      <c r="D37" s="17" t="n">
        <f aca="false">1/2</f>
        <v>0.5</v>
      </c>
      <c r="E37" s="17" t="n">
        <f aca="false">1/3</f>
        <v>0.333333333333333</v>
      </c>
      <c r="F37" s="17" t="n">
        <f aca="false">1/3</f>
        <v>0.333333333333333</v>
      </c>
      <c r="G37" s="11" t="n">
        <f aca="false">GEOMEAN(B37:F37)</f>
        <v>0.5609775727231</v>
      </c>
      <c r="H37" s="18" t="n">
        <f aca="false">G37/SUM(G$36:G$40)</f>
        <v>0.102426297534223</v>
      </c>
    </row>
    <row r="38" customFormat="false" ht="15" hidden="false" customHeight="false" outlineLevel="0" collapsed="false">
      <c r="A38" s="9" t="s">
        <v>43</v>
      </c>
      <c r="B38" s="16" t="n">
        <f aca="false">1/D36</f>
        <v>1</v>
      </c>
      <c r="C38" s="16" t="n">
        <f aca="false">1/D37</f>
        <v>2</v>
      </c>
      <c r="D38" s="16" t="n">
        <v>1</v>
      </c>
      <c r="E38" s="17" t="n">
        <f aca="false">1/2</f>
        <v>0.5</v>
      </c>
      <c r="F38" s="17" t="n">
        <f aca="false">1/2</f>
        <v>0.5</v>
      </c>
      <c r="G38" s="11" t="n">
        <f aca="false">GEOMEAN(B38:F38)</f>
        <v>0.870550563296124</v>
      </c>
      <c r="H38" s="18" t="n">
        <f aca="false">G38/SUM(G$36:G$40)</f>
        <v>0.158949796481022</v>
      </c>
    </row>
    <row r="39" customFormat="false" ht="15" hidden="false" customHeight="false" outlineLevel="0" collapsed="false">
      <c r="A39" s="9" t="s">
        <v>44</v>
      </c>
      <c r="B39" s="16" t="n">
        <f aca="false">1/E36</f>
        <v>2</v>
      </c>
      <c r="C39" s="16" t="n">
        <f aca="false">1/E37</f>
        <v>3</v>
      </c>
      <c r="D39" s="16" t="n">
        <f aca="false">1/E38</f>
        <v>2</v>
      </c>
      <c r="E39" s="16" t="n">
        <v>1</v>
      </c>
      <c r="F39" s="17" t="n">
        <v>1</v>
      </c>
      <c r="G39" s="11" t="n">
        <f aca="false">GEOMEAN(B39:F39)</f>
        <v>1.64375182951723</v>
      </c>
      <c r="H39" s="18" t="n">
        <f aca="false">G39/SUM(G$36:G$40)</f>
        <v>0.300125035561198</v>
      </c>
    </row>
    <row r="40" customFormat="false" ht="15" hidden="false" customHeight="false" outlineLevel="0" collapsed="false">
      <c r="A40" s="9" t="s">
        <v>45</v>
      </c>
      <c r="B40" s="16" t="n">
        <f aca="false">1/F36</f>
        <v>2</v>
      </c>
      <c r="C40" s="16" t="n">
        <f aca="false">1/F37</f>
        <v>3</v>
      </c>
      <c r="D40" s="16" t="n">
        <f aca="false">1/F38</f>
        <v>2</v>
      </c>
      <c r="E40" s="16" t="n">
        <f aca="false">1/F39</f>
        <v>1</v>
      </c>
      <c r="F40" s="16" t="n">
        <v>1</v>
      </c>
      <c r="G40" s="11" t="n">
        <f aca="false">GEOMEAN(B40:F40)</f>
        <v>1.64375182951723</v>
      </c>
      <c r="H40" s="18" t="n">
        <f aca="false">G40/SUM(G$36:G$40)</f>
        <v>0.300125035561198</v>
      </c>
    </row>
    <row r="41" customFormat="false" ht="15" hidden="false" customHeight="false" outlineLevel="0" collapsed="false">
      <c r="A41" s="9" t="s">
        <v>66</v>
      </c>
      <c r="B41" s="11" t="n">
        <f aca="false">SUM(B36:B40)</f>
        <v>7</v>
      </c>
      <c r="C41" s="11" t="n">
        <f aca="false">SUM(C36:C40)</f>
        <v>10</v>
      </c>
      <c r="D41" s="11" t="n">
        <f aca="false">SUM(D36:D40)</f>
        <v>6.5</v>
      </c>
      <c r="E41" s="11" t="n">
        <f aca="false">SUM(E36:E40)</f>
        <v>3.33333333333333</v>
      </c>
      <c r="F41" s="11" t="n">
        <f aca="false">SUM(F36:F40)</f>
        <v>3.33333333333333</v>
      </c>
    </row>
    <row r="42" customFormat="false" ht="15" hidden="false" customHeight="false" outlineLevel="0" collapsed="false">
      <c r="A42" s="9" t="s">
        <v>67</v>
      </c>
      <c r="B42" s="11" t="n">
        <f aca="false">H36</f>
        <v>0.138373834862358</v>
      </c>
      <c r="C42" s="11" t="n">
        <f aca="false">H37</f>
        <v>0.102426297534223</v>
      </c>
      <c r="D42" s="11" t="n">
        <f aca="false">H38</f>
        <v>0.158949796481022</v>
      </c>
      <c r="E42" s="11" t="n">
        <f aca="false">H39</f>
        <v>0.300125035561198</v>
      </c>
      <c r="F42" s="11" t="n">
        <f aca="false">H40</f>
        <v>0.300125035561198</v>
      </c>
    </row>
    <row r="43" customFormat="false" ht="15" hidden="false" customHeight="false" outlineLevel="0" collapsed="false">
      <c r="A43" s="9" t="s">
        <v>68</v>
      </c>
      <c r="B43" s="11" t="n">
        <f aca="false">SUMPRODUCT(B41:F41,B42:F42)</f>
        <v>5.02688706691337</v>
      </c>
    </row>
    <row r="44" customFormat="false" ht="15" hidden="false" customHeight="false" outlineLevel="0" collapsed="false">
      <c r="A44" s="9" t="s">
        <v>69</v>
      </c>
      <c r="B44" s="11" t="n">
        <f aca="false">(B43-5)/(5-1)</f>
        <v>0.00672176672834257</v>
      </c>
    </row>
    <row r="45" customFormat="false" ht="15" hidden="false" customHeight="false" outlineLevel="0" collapsed="false">
      <c r="A45" s="9" t="s">
        <v>70</v>
      </c>
      <c r="B45" s="19" t="n">
        <v>1.12</v>
      </c>
    </row>
    <row r="46" customFormat="false" ht="15" hidden="false" customHeight="false" outlineLevel="0" collapsed="false">
      <c r="A46" s="9" t="s">
        <v>71</v>
      </c>
      <c r="B46" s="20" t="n">
        <f aca="false">B44/B45</f>
        <v>0.00600157743602015</v>
      </c>
    </row>
    <row r="49" customFormat="false" ht="15" hidden="false" customHeight="false" outlineLevel="0" collapsed="false">
      <c r="A49" s="4" t="s">
        <v>74</v>
      </c>
    </row>
    <row r="50" customFormat="false" ht="23.85" hidden="false" customHeight="false" outlineLevel="0" collapsed="false">
      <c r="A50" s="6"/>
      <c r="B50" s="6" t="s">
        <v>27</v>
      </c>
      <c r="C50" s="6" t="s">
        <v>29</v>
      </c>
      <c r="D50" s="6" t="s">
        <v>31</v>
      </c>
      <c r="E50" s="6" t="s">
        <v>33</v>
      </c>
      <c r="F50" s="6" t="s">
        <v>35</v>
      </c>
      <c r="G50" s="6" t="s">
        <v>58</v>
      </c>
      <c r="H50" s="6" t="s">
        <v>59</v>
      </c>
    </row>
    <row r="51" customFormat="false" ht="15" hidden="false" customHeight="false" outlineLevel="0" collapsed="false">
      <c r="A51" s="9" t="s">
        <v>41</v>
      </c>
      <c r="B51" s="11" t="n">
        <f aca="false">GEOMEAN(B6,B21,B36)</f>
        <v>1</v>
      </c>
      <c r="C51" s="11" t="n">
        <f aca="false">GEOMEAN(C6,C21,C36)</f>
        <v>1.5874010519682</v>
      </c>
      <c r="D51" s="11" t="n">
        <f aca="false">GEOMEAN(D6,D21,D36)</f>
        <v>0.7937005259841</v>
      </c>
      <c r="E51" s="11" t="n">
        <f aca="false">GEOMEAN(E6,E21,E36)</f>
        <v>0.7937005259841</v>
      </c>
      <c r="F51" s="11" t="n">
        <f aca="false">GEOMEAN(F6,F21,F36)</f>
        <v>0.5</v>
      </c>
      <c r="G51" s="11" t="n">
        <f aca="false">GEOMEAN(B51:F51)</f>
        <v>0.870550563296124</v>
      </c>
      <c r="H51" s="18" t="n">
        <f aca="false">G51/SUM(G$51:G$55)</f>
        <v>0.16376089185644</v>
      </c>
    </row>
    <row r="52" customFormat="false" ht="15" hidden="false" customHeight="false" outlineLevel="0" collapsed="false">
      <c r="A52" s="9" t="s">
        <v>42</v>
      </c>
      <c r="B52" s="11" t="n">
        <f aca="false">GEOMEAN(B7,B22,B37)</f>
        <v>0.629960524947437</v>
      </c>
      <c r="C52" s="11" t="n">
        <f aca="false">GEOMEAN(C7,C22,C37)</f>
        <v>1</v>
      </c>
      <c r="D52" s="11" t="n">
        <f aca="false">GEOMEAN(D7,D22,D37)</f>
        <v>0.436790232368149</v>
      </c>
      <c r="E52" s="11" t="n">
        <f aca="false">GEOMEAN(E7,E22,E37)</f>
        <v>0.436790232368149</v>
      </c>
      <c r="F52" s="11" t="n">
        <f aca="false">GEOMEAN(F7,F22,F37)</f>
        <v>0.333333333333333</v>
      </c>
      <c r="G52" s="11" t="n">
        <f aca="false">GEOMEAN(B52:F52)</f>
        <v>0.525469585055009</v>
      </c>
      <c r="H52" s="18" t="n">
        <f aca="false">G52/SUM(G$51:G$55)</f>
        <v>0.0988470647428329</v>
      </c>
    </row>
    <row r="53" customFormat="false" ht="15" hidden="false" customHeight="false" outlineLevel="0" collapsed="false">
      <c r="A53" s="9" t="s">
        <v>43</v>
      </c>
      <c r="B53" s="11" t="n">
        <f aca="false">GEOMEAN(B8,B23,B38)</f>
        <v>1.25992104989487</v>
      </c>
      <c r="C53" s="11" t="n">
        <f aca="false">GEOMEAN(C8,C23,C38)</f>
        <v>2.28942848510666</v>
      </c>
      <c r="D53" s="11" t="n">
        <f aca="false">GEOMEAN(D8,D23,D38)</f>
        <v>1</v>
      </c>
      <c r="E53" s="11" t="n">
        <f aca="false">GEOMEAN(E8,E23,E38)</f>
        <v>0.7937005259841</v>
      </c>
      <c r="F53" s="11" t="n">
        <f aca="false">GEOMEAN(F8,F23,F38)</f>
        <v>0.7937005259841</v>
      </c>
      <c r="G53" s="11" t="n">
        <f aca="false">GEOMEAN(B53:F53)</f>
        <v>1.12687761019083</v>
      </c>
      <c r="H53" s="18" t="n">
        <f aca="false">G53/SUM(G$51:G$55)</f>
        <v>0.211979051233043</v>
      </c>
    </row>
    <row r="54" customFormat="false" ht="15" hidden="false" customHeight="false" outlineLevel="0" collapsed="false">
      <c r="A54" s="9" t="s">
        <v>44</v>
      </c>
      <c r="B54" s="11" t="n">
        <f aca="false">GEOMEAN(B9,B24,B39)</f>
        <v>1.25992104989487</v>
      </c>
      <c r="C54" s="11" t="n">
        <f aca="false">GEOMEAN(C9,C24,C39)</f>
        <v>2.28942848510666</v>
      </c>
      <c r="D54" s="11" t="n">
        <f aca="false">GEOMEAN(D9,D24,D39)</f>
        <v>1.25992104989487</v>
      </c>
      <c r="E54" s="11" t="n">
        <f aca="false">GEOMEAN(E9,E24,E39)</f>
        <v>1</v>
      </c>
      <c r="F54" s="11" t="n">
        <f aca="false">GEOMEAN(F9,F24,F39)</f>
        <v>1</v>
      </c>
      <c r="G54" s="11" t="n">
        <f aca="false">GEOMEAN(B54:F54)</f>
        <v>1.29444245710919</v>
      </c>
      <c r="H54" s="18" t="n">
        <f aca="false">G54/SUM(G$51:G$55)</f>
        <v>0.243499987445228</v>
      </c>
    </row>
    <row r="55" customFormat="false" ht="15" hidden="false" customHeight="false" outlineLevel="0" collapsed="false">
      <c r="A55" s="9" t="s">
        <v>45</v>
      </c>
      <c r="B55" s="11" t="n">
        <f aca="false">GEOMEAN(B10,B25,B40)</f>
        <v>2</v>
      </c>
      <c r="C55" s="11" t="n">
        <f aca="false">GEOMEAN(C10,C25,C40)</f>
        <v>3</v>
      </c>
      <c r="D55" s="11" t="n">
        <f aca="false">GEOMEAN(D10,D25,D40)</f>
        <v>1.25992104989487</v>
      </c>
      <c r="E55" s="11" t="n">
        <f aca="false">GEOMEAN(E10,E25,E40)</f>
        <v>1</v>
      </c>
      <c r="F55" s="11" t="n">
        <f aca="false">GEOMEAN(F10,F25,F40)</f>
        <v>1</v>
      </c>
      <c r="G55" s="11" t="n">
        <f aca="false">GEOMEAN(B55:F55)</f>
        <v>1.49864550857957</v>
      </c>
      <c r="H55" s="18" t="n">
        <f aca="false">G55/SUM(G$51:G$55)</f>
        <v>0.281913004722457</v>
      </c>
    </row>
    <row r="56" customFormat="false" ht="15" hidden="false" customHeight="false" outlineLevel="0" collapsed="false">
      <c r="A56" s="9" t="s">
        <v>66</v>
      </c>
      <c r="B56" s="11" t="n">
        <f aca="false">SUM(B51:B55)</f>
        <v>6.14980262473718</v>
      </c>
      <c r="C56" s="11" t="n">
        <f aca="false">SUM(C51:C55)</f>
        <v>10.1662580221815</v>
      </c>
      <c r="D56" s="11" t="n">
        <f aca="false">SUM(D51:D55)</f>
        <v>4.750332858142</v>
      </c>
      <c r="E56" s="11" t="n">
        <f aca="false">SUM(E51:E55)</f>
        <v>4.02419128433635</v>
      </c>
      <c r="F56" s="11" t="n">
        <f aca="false">SUM(F51:F55)</f>
        <v>3.62703385931743</v>
      </c>
    </row>
    <row r="57" customFormat="false" ht="15" hidden="false" customHeight="false" outlineLevel="0" collapsed="false">
      <c r="A57" s="9" t="s">
        <v>67</v>
      </c>
      <c r="B57" s="11" t="n">
        <f aca="false">H51</f>
        <v>0.16376089185644</v>
      </c>
      <c r="C57" s="11" t="n">
        <f aca="false">H52</f>
        <v>0.0988470647428329</v>
      </c>
      <c r="D57" s="11" t="n">
        <f aca="false">H53</f>
        <v>0.211979051233043</v>
      </c>
      <c r="E57" s="11" t="n">
        <f aca="false">H54</f>
        <v>0.243499987445228</v>
      </c>
      <c r="F57" s="11" t="n">
        <f aca="false">H55</f>
        <v>0.281913004722457</v>
      </c>
    </row>
    <row r="58" customFormat="false" ht="15" hidden="false" customHeight="false" outlineLevel="0" collapsed="false">
      <c r="A58" s="9" t="s">
        <v>68</v>
      </c>
      <c r="B58" s="11" t="n">
        <f aca="false">SUMPRODUCT(B56:F56,B57:F57)</f>
        <v>5.02137152051241</v>
      </c>
    </row>
    <row r="59" customFormat="false" ht="15" hidden="false" customHeight="false" outlineLevel="0" collapsed="false">
      <c r="A59" s="9" t="s">
        <v>69</v>
      </c>
      <c r="B59" s="11" t="n">
        <f aca="false">(B58-5)/(5-1)</f>
        <v>0.00534288012810191</v>
      </c>
    </row>
    <row r="60" customFormat="false" ht="15" hidden="false" customHeight="false" outlineLevel="0" collapsed="false">
      <c r="A60" s="9" t="s">
        <v>70</v>
      </c>
      <c r="B60" s="19" t="n">
        <v>1.12</v>
      </c>
    </row>
    <row r="61" customFormat="false" ht="15" hidden="false" customHeight="false" outlineLevel="0" collapsed="false">
      <c r="A61" s="9" t="s">
        <v>71</v>
      </c>
      <c r="B61" s="20" t="n">
        <f aca="false">B59/B60</f>
        <v>0.00477042868580528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5" activeCellId="0" sqref="A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1"/>
    <col collapsed="false" customWidth="true" hidden="false" outlineLevel="0" max="8" min="7" style="1" width="14"/>
  </cols>
  <sheetData>
    <row r="1" customFormat="false" ht="17.35" hidden="false" customHeight="false" outlineLevel="0" collapsed="false">
      <c r="A1" s="2" t="s">
        <v>80</v>
      </c>
    </row>
    <row r="2" customFormat="false" ht="15" hidden="false" customHeight="false" outlineLevel="0" collapsed="false">
      <c r="A2" s="3" t="s">
        <v>76</v>
      </c>
    </row>
    <row r="4" customFormat="false" ht="15" hidden="false" customHeight="false" outlineLevel="0" collapsed="false">
      <c r="A4" s="4" t="s">
        <v>57</v>
      </c>
    </row>
    <row r="5" customFormat="false" ht="23.85" hidden="false" customHeight="false" outlineLevel="0" collapsed="false">
      <c r="A5" s="6"/>
      <c r="B5" s="6" t="s">
        <v>27</v>
      </c>
      <c r="C5" s="6" t="s">
        <v>29</v>
      </c>
      <c r="D5" s="6" t="s">
        <v>31</v>
      </c>
      <c r="E5" s="6" t="s">
        <v>33</v>
      </c>
      <c r="F5" s="6" t="s">
        <v>35</v>
      </c>
      <c r="G5" s="6" t="s">
        <v>58</v>
      </c>
      <c r="H5" s="6" t="s">
        <v>59</v>
      </c>
    </row>
    <row r="6" customFormat="false" ht="15" hidden="false" customHeight="false" outlineLevel="0" collapsed="false">
      <c r="A6" s="9" t="s">
        <v>41</v>
      </c>
      <c r="B6" s="16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1" t="n">
        <f aca="false">GEOMEAN(B6:F6)</f>
        <v>1</v>
      </c>
      <c r="H6" s="18" t="n">
        <f aca="false">G6/SUM(G$6:G$10)</f>
        <v>0.2</v>
      </c>
    </row>
    <row r="7" customFormat="false" ht="15" hidden="false" customHeight="false" outlineLevel="0" collapsed="false">
      <c r="A7" s="9" t="s">
        <v>42</v>
      </c>
      <c r="B7" s="16" t="n">
        <f aca="false">1/C6</f>
        <v>1</v>
      </c>
      <c r="C7" s="16" t="n">
        <v>1</v>
      </c>
      <c r="D7" s="17" t="n">
        <v>1</v>
      </c>
      <c r="E7" s="17" t="n">
        <v>1</v>
      </c>
      <c r="F7" s="17" t="n">
        <v>1</v>
      </c>
      <c r="G7" s="11" t="n">
        <f aca="false">GEOMEAN(B7:F7)</f>
        <v>1</v>
      </c>
      <c r="H7" s="18" t="n">
        <f aca="false">G7/SUM(G$6:G$10)</f>
        <v>0.2</v>
      </c>
    </row>
    <row r="8" customFormat="false" ht="15" hidden="false" customHeight="false" outlineLevel="0" collapsed="false">
      <c r="A8" s="9" t="s">
        <v>43</v>
      </c>
      <c r="B8" s="16" t="n">
        <f aca="false">1/D6</f>
        <v>1</v>
      </c>
      <c r="C8" s="16" t="n">
        <f aca="false">1/D7</f>
        <v>1</v>
      </c>
      <c r="D8" s="16" t="n">
        <v>1</v>
      </c>
      <c r="E8" s="17" t="n">
        <v>1</v>
      </c>
      <c r="F8" s="17" t="n">
        <v>1</v>
      </c>
      <c r="G8" s="11" t="n">
        <f aca="false">GEOMEAN(B8:F8)</f>
        <v>1</v>
      </c>
      <c r="H8" s="18" t="n">
        <f aca="false">G8/SUM(G$6:G$10)</f>
        <v>0.2</v>
      </c>
    </row>
    <row r="9" customFormat="false" ht="15" hidden="false" customHeight="false" outlineLevel="0" collapsed="false">
      <c r="A9" s="9" t="s">
        <v>44</v>
      </c>
      <c r="B9" s="16" t="n">
        <f aca="false">1/E6</f>
        <v>1</v>
      </c>
      <c r="C9" s="16" t="n">
        <f aca="false">1/E7</f>
        <v>1</v>
      </c>
      <c r="D9" s="16" t="n">
        <f aca="false">1/E8</f>
        <v>1</v>
      </c>
      <c r="E9" s="16" t="n">
        <v>1</v>
      </c>
      <c r="F9" s="17" t="n">
        <v>1</v>
      </c>
      <c r="G9" s="11" t="n">
        <f aca="false">GEOMEAN(B9:F9)</f>
        <v>1</v>
      </c>
      <c r="H9" s="18" t="n">
        <f aca="false">G9/SUM(G$6:G$10)</f>
        <v>0.2</v>
      </c>
    </row>
    <row r="10" customFormat="false" ht="15" hidden="false" customHeight="false" outlineLevel="0" collapsed="false">
      <c r="A10" s="9" t="s">
        <v>45</v>
      </c>
      <c r="B10" s="16" t="n">
        <f aca="false">1/F6</f>
        <v>1</v>
      </c>
      <c r="C10" s="16" t="n">
        <f aca="false">1/F7</f>
        <v>1</v>
      </c>
      <c r="D10" s="16" t="n">
        <f aca="false">1/F8</f>
        <v>1</v>
      </c>
      <c r="E10" s="16" t="n">
        <f aca="false">1/F9</f>
        <v>1</v>
      </c>
      <c r="F10" s="16" t="n">
        <v>1</v>
      </c>
      <c r="G10" s="11" t="n">
        <f aca="false">GEOMEAN(B10:F10)</f>
        <v>1</v>
      </c>
      <c r="H10" s="18" t="n">
        <f aca="false">G10/SUM(G$6:G$10)</f>
        <v>0.2</v>
      </c>
    </row>
    <row r="11" customFormat="false" ht="15" hidden="false" customHeight="false" outlineLevel="0" collapsed="false">
      <c r="A11" s="9" t="s">
        <v>66</v>
      </c>
      <c r="B11" s="11" t="n">
        <f aca="false">SUM(B6:B10)</f>
        <v>5</v>
      </c>
      <c r="C11" s="11" t="n">
        <f aca="false">SUM(C6:C10)</f>
        <v>5</v>
      </c>
      <c r="D11" s="11" t="n">
        <f aca="false">SUM(D6:D10)</f>
        <v>5</v>
      </c>
      <c r="E11" s="11" t="n">
        <f aca="false">SUM(E6:E10)</f>
        <v>5</v>
      </c>
      <c r="F11" s="11" t="n">
        <f aca="false">SUM(F6:F10)</f>
        <v>5</v>
      </c>
    </row>
    <row r="12" customFormat="false" ht="15" hidden="false" customHeight="false" outlineLevel="0" collapsed="false">
      <c r="A12" s="9" t="s">
        <v>67</v>
      </c>
      <c r="B12" s="11" t="n">
        <f aca="false">H6</f>
        <v>0.2</v>
      </c>
      <c r="C12" s="11" t="n">
        <f aca="false">H7</f>
        <v>0.2</v>
      </c>
      <c r="D12" s="11" t="n">
        <f aca="false">H8</f>
        <v>0.2</v>
      </c>
      <c r="E12" s="11" t="n">
        <f aca="false">H9</f>
        <v>0.2</v>
      </c>
      <c r="F12" s="11" t="n">
        <f aca="false">H10</f>
        <v>0.2</v>
      </c>
    </row>
    <row r="13" customFormat="false" ht="15" hidden="false" customHeight="false" outlineLevel="0" collapsed="false">
      <c r="A13" s="9" t="s">
        <v>68</v>
      </c>
      <c r="B13" s="11" t="n">
        <f aca="false">SUMPRODUCT(B11:F11,B12:F12)</f>
        <v>5</v>
      </c>
    </row>
    <row r="14" customFormat="false" ht="15" hidden="false" customHeight="false" outlineLevel="0" collapsed="false">
      <c r="A14" s="9" t="s">
        <v>69</v>
      </c>
      <c r="B14" s="11" t="n">
        <f aca="false">(B13-5)/(5-1)</f>
        <v>0</v>
      </c>
    </row>
    <row r="15" customFormat="false" ht="15" hidden="false" customHeight="false" outlineLevel="0" collapsed="false">
      <c r="A15" s="9" t="s">
        <v>70</v>
      </c>
      <c r="B15" s="19" t="n">
        <v>1.12</v>
      </c>
    </row>
    <row r="16" customFormat="false" ht="15" hidden="false" customHeight="false" outlineLevel="0" collapsed="false">
      <c r="A16" s="9" t="s">
        <v>71</v>
      </c>
      <c r="B16" s="20" t="n">
        <f aca="false">B14/B15</f>
        <v>0</v>
      </c>
    </row>
    <row r="19" customFormat="false" ht="15" hidden="false" customHeight="false" outlineLevel="0" collapsed="false">
      <c r="A19" s="4" t="s">
        <v>72</v>
      </c>
    </row>
    <row r="20" customFormat="false" ht="23.85" hidden="false" customHeight="false" outlineLevel="0" collapsed="false">
      <c r="A20" s="6"/>
      <c r="B20" s="6" t="s">
        <v>27</v>
      </c>
      <c r="C20" s="6" t="s">
        <v>29</v>
      </c>
      <c r="D20" s="6" t="s">
        <v>31</v>
      </c>
      <c r="E20" s="6" t="s">
        <v>33</v>
      </c>
      <c r="F20" s="6" t="s">
        <v>35</v>
      </c>
      <c r="G20" s="6" t="s">
        <v>58</v>
      </c>
      <c r="H20" s="6" t="s">
        <v>59</v>
      </c>
    </row>
    <row r="21" customFormat="false" ht="15" hidden="false" customHeight="false" outlineLevel="0" collapsed="false">
      <c r="A21" s="9" t="s">
        <v>41</v>
      </c>
      <c r="B21" s="16" t="n">
        <v>1</v>
      </c>
      <c r="C21" s="17" t="n">
        <v>1</v>
      </c>
      <c r="D21" s="17" t="n">
        <v>1</v>
      </c>
      <c r="E21" s="17" t="n">
        <v>1</v>
      </c>
      <c r="F21" s="17" t="n">
        <v>1</v>
      </c>
      <c r="G21" s="11" t="n">
        <f aca="false">GEOMEAN(B21:F21)</f>
        <v>1</v>
      </c>
      <c r="H21" s="18" t="n">
        <f aca="false">G21/SUM(G$21:G$25)</f>
        <v>0.197813958214846</v>
      </c>
    </row>
    <row r="22" customFormat="false" ht="15" hidden="false" customHeight="false" outlineLevel="0" collapsed="false">
      <c r="A22" s="9" t="s">
        <v>42</v>
      </c>
      <c r="B22" s="16" t="n">
        <f aca="false">1/C21</f>
        <v>1</v>
      </c>
      <c r="C22" s="16" t="n">
        <v>1</v>
      </c>
      <c r="D22" s="17" t="n">
        <f aca="false">1/2</f>
        <v>0.5</v>
      </c>
      <c r="E22" s="17" t="n">
        <v>1</v>
      </c>
      <c r="F22" s="17" t="n">
        <f aca="false">1/2</f>
        <v>0.5</v>
      </c>
      <c r="G22" s="11" t="n">
        <f aca="false">GEOMEAN(B22:F22)</f>
        <v>0.757858283255199</v>
      </c>
      <c r="H22" s="18" t="n">
        <f aca="false">G22/SUM(G$21:G$25)</f>
        <v>0.149914946776619</v>
      </c>
    </row>
    <row r="23" customFormat="false" ht="15" hidden="false" customHeight="false" outlineLevel="0" collapsed="false">
      <c r="A23" s="9" t="s">
        <v>43</v>
      </c>
      <c r="B23" s="16" t="n">
        <f aca="false">1/D21</f>
        <v>1</v>
      </c>
      <c r="C23" s="16" t="n">
        <f aca="false">1/D22</f>
        <v>2</v>
      </c>
      <c r="D23" s="16" t="n">
        <v>1</v>
      </c>
      <c r="E23" s="17" t="n">
        <v>1</v>
      </c>
      <c r="F23" s="17" t="n">
        <v>1</v>
      </c>
      <c r="G23" s="11" t="n">
        <f aca="false">GEOMEAN(B23:F23)</f>
        <v>1.14869835499704</v>
      </c>
      <c r="H23" s="18" t="n">
        <f aca="false">G23/SUM(G$21:G$25)</f>
        <v>0.227228568396845</v>
      </c>
    </row>
    <row r="24" customFormat="false" ht="15" hidden="false" customHeight="false" outlineLevel="0" collapsed="false">
      <c r="A24" s="9" t="s">
        <v>44</v>
      </c>
      <c r="B24" s="16" t="n">
        <f aca="false">1/E21</f>
        <v>1</v>
      </c>
      <c r="C24" s="16" t="n">
        <f aca="false">1/E22</f>
        <v>1</v>
      </c>
      <c r="D24" s="16" t="n">
        <f aca="false">1/E23</f>
        <v>1</v>
      </c>
      <c r="E24" s="16" t="n">
        <v>1</v>
      </c>
      <c r="F24" s="17" t="n">
        <v>1</v>
      </c>
      <c r="G24" s="11" t="n">
        <f aca="false">GEOMEAN(B24:F24)</f>
        <v>1</v>
      </c>
      <c r="H24" s="18" t="n">
        <f aca="false">G24/SUM(G$21:G$25)</f>
        <v>0.197813958214846</v>
      </c>
    </row>
    <row r="25" customFormat="false" ht="15" hidden="false" customHeight="false" outlineLevel="0" collapsed="false">
      <c r="A25" s="9" t="s">
        <v>45</v>
      </c>
      <c r="B25" s="16" t="n">
        <f aca="false">1/F21</f>
        <v>1</v>
      </c>
      <c r="C25" s="16" t="n">
        <f aca="false">1/F22</f>
        <v>2</v>
      </c>
      <c r="D25" s="16" t="n">
        <f aca="false">1/F23</f>
        <v>1</v>
      </c>
      <c r="E25" s="16" t="n">
        <f aca="false">1/F24</f>
        <v>1</v>
      </c>
      <c r="F25" s="16" t="n">
        <v>1</v>
      </c>
      <c r="G25" s="11" t="n">
        <f aca="false">GEOMEAN(B25:F25)</f>
        <v>1.14869835499704</v>
      </c>
      <c r="H25" s="18" t="n">
        <f aca="false">G25/SUM(G$21:G$25)</f>
        <v>0.227228568396845</v>
      </c>
    </row>
    <row r="26" customFormat="false" ht="15" hidden="false" customHeight="false" outlineLevel="0" collapsed="false">
      <c r="A26" s="9" t="s">
        <v>66</v>
      </c>
      <c r="B26" s="11" t="n">
        <f aca="false">SUM(B21:B25)</f>
        <v>5</v>
      </c>
      <c r="C26" s="11" t="n">
        <f aca="false">SUM(C21:C25)</f>
        <v>7</v>
      </c>
      <c r="D26" s="11" t="n">
        <f aca="false">SUM(D21:D25)</f>
        <v>4.5</v>
      </c>
      <c r="E26" s="11" t="n">
        <f aca="false">SUM(E21:E25)</f>
        <v>5</v>
      </c>
      <c r="F26" s="11" t="n">
        <f aca="false">SUM(F21:F25)</f>
        <v>4.5</v>
      </c>
    </row>
    <row r="27" customFormat="false" ht="15" hidden="false" customHeight="false" outlineLevel="0" collapsed="false">
      <c r="A27" s="9" t="s">
        <v>67</v>
      </c>
      <c r="B27" s="11" t="n">
        <f aca="false">H21</f>
        <v>0.197813958214846</v>
      </c>
      <c r="C27" s="11" t="n">
        <f aca="false">H22</f>
        <v>0.149914946776619</v>
      </c>
      <c r="D27" s="11" t="n">
        <f aca="false">H23</f>
        <v>0.227228568396845</v>
      </c>
      <c r="E27" s="11" t="n">
        <f aca="false">H24</f>
        <v>0.197813958214846</v>
      </c>
      <c r="F27" s="11" t="n">
        <f aca="false">H25</f>
        <v>0.227228568396845</v>
      </c>
    </row>
    <row r="28" customFormat="false" ht="15" hidden="false" customHeight="false" outlineLevel="0" collapsed="false">
      <c r="A28" s="9" t="s">
        <v>68</v>
      </c>
      <c r="B28" s="11" t="n">
        <f aca="false">SUMPRODUCT(B26:F26,B27:F27)</f>
        <v>5.07260132515639</v>
      </c>
    </row>
    <row r="29" customFormat="false" ht="15" hidden="false" customHeight="false" outlineLevel="0" collapsed="false">
      <c r="A29" s="9" t="s">
        <v>69</v>
      </c>
      <c r="B29" s="11" t="n">
        <f aca="false">(B28-5)/(5-1)</f>
        <v>0.0181503312890978</v>
      </c>
    </row>
    <row r="30" customFormat="false" ht="15" hidden="false" customHeight="false" outlineLevel="0" collapsed="false">
      <c r="A30" s="9" t="s">
        <v>70</v>
      </c>
      <c r="B30" s="19" t="n">
        <v>1.12</v>
      </c>
    </row>
    <row r="31" customFormat="false" ht="15" hidden="false" customHeight="false" outlineLevel="0" collapsed="false">
      <c r="A31" s="9" t="s">
        <v>71</v>
      </c>
      <c r="B31" s="20" t="n">
        <f aca="false">B29/B30</f>
        <v>0.0162056529366945</v>
      </c>
    </row>
    <row r="34" customFormat="false" ht="15" hidden="false" customHeight="false" outlineLevel="0" collapsed="false">
      <c r="A34" s="4" t="s">
        <v>73</v>
      </c>
    </row>
    <row r="35" customFormat="false" ht="23.85" hidden="false" customHeight="false" outlineLevel="0" collapsed="false">
      <c r="A35" s="6"/>
      <c r="B35" s="6" t="s">
        <v>27</v>
      </c>
      <c r="C35" s="6" t="s">
        <v>29</v>
      </c>
      <c r="D35" s="6" t="s">
        <v>31</v>
      </c>
      <c r="E35" s="6" t="s">
        <v>33</v>
      </c>
      <c r="F35" s="6" t="s">
        <v>35</v>
      </c>
      <c r="G35" s="6" t="s">
        <v>58</v>
      </c>
      <c r="H35" s="6" t="s">
        <v>59</v>
      </c>
    </row>
    <row r="36" customFormat="false" ht="15" hidden="false" customHeight="false" outlineLevel="0" collapsed="false">
      <c r="A36" s="9" t="s">
        <v>41</v>
      </c>
      <c r="B36" s="16" t="n">
        <v>1</v>
      </c>
      <c r="C36" s="17" t="n">
        <v>1</v>
      </c>
      <c r="D36" s="17" t="n">
        <f aca="false">1/2</f>
        <v>0.5</v>
      </c>
      <c r="E36" s="17" t="n">
        <v>1</v>
      </c>
      <c r="F36" s="17" t="n">
        <f aca="false">1/2</f>
        <v>0.5</v>
      </c>
      <c r="G36" s="11" t="n">
        <f aca="false">GEOMEAN(B36:F36)</f>
        <v>0.757858283255199</v>
      </c>
      <c r="H36" s="18" t="n">
        <f aca="false">G36/SUM(G$36:G$40)</f>
        <v>0.148698354997035</v>
      </c>
    </row>
    <row r="37" customFormat="false" ht="15" hidden="false" customHeight="false" outlineLevel="0" collapsed="false">
      <c r="A37" s="9" t="s">
        <v>42</v>
      </c>
      <c r="B37" s="16" t="n">
        <f aca="false">1/C36</f>
        <v>1</v>
      </c>
      <c r="C37" s="16" t="n">
        <v>1</v>
      </c>
      <c r="D37" s="17" t="n">
        <f aca="false">1/2</f>
        <v>0.5</v>
      </c>
      <c r="E37" s="17" t="n">
        <v>1</v>
      </c>
      <c r="F37" s="17" t="n">
        <v>1</v>
      </c>
      <c r="G37" s="11" t="n">
        <f aca="false">GEOMEAN(B37:F37)</f>
        <v>0.870550563296124</v>
      </c>
      <c r="H37" s="18" t="n">
        <f aca="false">G37/SUM(G$36:G$40)</f>
        <v>0.170809555775859</v>
      </c>
    </row>
    <row r="38" customFormat="false" ht="15" hidden="false" customHeight="false" outlineLevel="0" collapsed="false">
      <c r="A38" s="9" t="s">
        <v>43</v>
      </c>
      <c r="B38" s="16" t="n">
        <f aca="false">1/D36</f>
        <v>2</v>
      </c>
      <c r="C38" s="16" t="n">
        <f aca="false">1/D37</f>
        <v>2</v>
      </c>
      <c r="D38" s="16" t="n">
        <v>1</v>
      </c>
      <c r="E38" s="17" t="n">
        <v>1</v>
      </c>
      <c r="F38" s="17" t="n">
        <v>1</v>
      </c>
      <c r="G38" s="11" t="n">
        <f aca="false">GEOMEAN(B38:F38)</f>
        <v>1.31950791077289</v>
      </c>
      <c r="H38" s="18" t="n">
        <f aca="false">G38/SUM(G$36:G$40)</f>
        <v>0.258898873407752</v>
      </c>
    </row>
    <row r="39" customFormat="false" ht="15" hidden="false" customHeight="false" outlineLevel="0" collapsed="false">
      <c r="A39" s="9" t="s">
        <v>44</v>
      </c>
      <c r="B39" s="16" t="n">
        <f aca="false">1/E36</f>
        <v>1</v>
      </c>
      <c r="C39" s="16" t="n">
        <f aca="false">1/E37</f>
        <v>1</v>
      </c>
      <c r="D39" s="16" t="n">
        <f aca="false">1/E38</f>
        <v>1</v>
      </c>
      <c r="E39" s="16" t="n">
        <v>1</v>
      </c>
      <c r="F39" s="17" t="n">
        <v>1</v>
      </c>
      <c r="G39" s="11" t="n">
        <f aca="false">GEOMEAN(B39:F39)</f>
        <v>1</v>
      </c>
      <c r="H39" s="18" t="n">
        <f aca="false">G39/SUM(G$36:G$40)</f>
        <v>0.196208655737504</v>
      </c>
    </row>
    <row r="40" customFormat="false" ht="15" hidden="false" customHeight="false" outlineLevel="0" collapsed="false">
      <c r="A40" s="9" t="s">
        <v>45</v>
      </c>
      <c r="B40" s="16" t="n">
        <f aca="false">1/F36</f>
        <v>2</v>
      </c>
      <c r="C40" s="16" t="n">
        <f aca="false">1/F37</f>
        <v>1</v>
      </c>
      <c r="D40" s="16" t="n">
        <f aca="false">1/F38</f>
        <v>1</v>
      </c>
      <c r="E40" s="16" t="n">
        <f aca="false">1/F39</f>
        <v>1</v>
      </c>
      <c r="F40" s="16" t="n">
        <v>1</v>
      </c>
      <c r="G40" s="11" t="n">
        <f aca="false">GEOMEAN(B40:F40)</f>
        <v>1.14869835499704</v>
      </c>
      <c r="H40" s="18" t="n">
        <f aca="false">G40/SUM(G$36:G$40)</f>
        <v>0.22538456008185</v>
      </c>
    </row>
    <row r="41" customFormat="false" ht="15" hidden="false" customHeight="false" outlineLevel="0" collapsed="false">
      <c r="A41" s="9" t="s">
        <v>66</v>
      </c>
      <c r="B41" s="11" t="n">
        <f aca="false">SUM(B36:B40)</f>
        <v>7</v>
      </c>
      <c r="C41" s="11" t="n">
        <f aca="false">SUM(C36:C40)</f>
        <v>6</v>
      </c>
      <c r="D41" s="11" t="n">
        <f aca="false">SUM(D36:D40)</f>
        <v>4</v>
      </c>
      <c r="E41" s="11" t="n">
        <f aca="false">SUM(E36:E40)</f>
        <v>5</v>
      </c>
      <c r="F41" s="11" t="n">
        <f aca="false">SUM(F36:F40)</f>
        <v>4.5</v>
      </c>
    </row>
    <row r="42" customFormat="false" ht="15" hidden="false" customHeight="false" outlineLevel="0" collapsed="false">
      <c r="A42" s="9" t="s">
        <v>67</v>
      </c>
      <c r="B42" s="11" t="n">
        <f aca="false">H36</f>
        <v>0.148698354997035</v>
      </c>
      <c r="C42" s="11" t="n">
        <f aca="false">H37</f>
        <v>0.170809555775859</v>
      </c>
      <c r="D42" s="11" t="n">
        <f aca="false">H38</f>
        <v>0.258898873407752</v>
      </c>
      <c r="E42" s="11" t="n">
        <f aca="false">H39</f>
        <v>0.196208655737504</v>
      </c>
      <c r="F42" s="11" t="n">
        <f aca="false">H40</f>
        <v>0.22538456008185</v>
      </c>
    </row>
    <row r="43" customFormat="false" ht="15" hidden="false" customHeight="false" outlineLevel="0" collapsed="false">
      <c r="A43" s="9" t="s">
        <v>68</v>
      </c>
      <c r="B43" s="11" t="n">
        <f aca="false">SUMPRODUCT(B41:F41,B42:F42)</f>
        <v>5.09661511232125</v>
      </c>
    </row>
    <row r="44" customFormat="false" ht="15" hidden="false" customHeight="false" outlineLevel="0" collapsed="false">
      <c r="A44" s="9" t="s">
        <v>69</v>
      </c>
      <c r="B44" s="11" t="n">
        <f aca="false">(B43-5)/(5-1)</f>
        <v>0.0241537780803132</v>
      </c>
    </row>
    <row r="45" customFormat="false" ht="15" hidden="false" customHeight="false" outlineLevel="0" collapsed="false">
      <c r="A45" s="9" t="s">
        <v>70</v>
      </c>
      <c r="B45" s="19" t="n">
        <v>1.12</v>
      </c>
    </row>
    <row r="46" customFormat="false" ht="15" hidden="false" customHeight="false" outlineLevel="0" collapsed="false">
      <c r="A46" s="9" t="s">
        <v>71</v>
      </c>
      <c r="B46" s="20" t="n">
        <f aca="false">B44/B45</f>
        <v>0.0215658732859939</v>
      </c>
    </row>
    <row r="49" customFormat="false" ht="15" hidden="false" customHeight="false" outlineLevel="0" collapsed="false">
      <c r="A49" s="4" t="s">
        <v>74</v>
      </c>
    </row>
    <row r="50" customFormat="false" ht="23.85" hidden="false" customHeight="false" outlineLevel="0" collapsed="false">
      <c r="A50" s="6"/>
      <c r="B50" s="6" t="s">
        <v>27</v>
      </c>
      <c r="C50" s="6" t="s">
        <v>29</v>
      </c>
      <c r="D50" s="6" t="s">
        <v>31</v>
      </c>
      <c r="E50" s="6" t="s">
        <v>33</v>
      </c>
      <c r="F50" s="6" t="s">
        <v>35</v>
      </c>
      <c r="G50" s="6" t="s">
        <v>58</v>
      </c>
      <c r="H50" s="6" t="s">
        <v>59</v>
      </c>
    </row>
    <row r="51" customFormat="false" ht="15" hidden="false" customHeight="false" outlineLevel="0" collapsed="false">
      <c r="A51" s="9" t="s">
        <v>41</v>
      </c>
      <c r="B51" s="11" t="n">
        <f aca="false">GEOMEAN(B6,B21,B36)</f>
        <v>1</v>
      </c>
      <c r="C51" s="11" t="n">
        <f aca="false">GEOMEAN(C6,C21,C36)</f>
        <v>1</v>
      </c>
      <c r="D51" s="11" t="n">
        <f aca="false">GEOMEAN(D6,D21,D36)</f>
        <v>0.7937005259841</v>
      </c>
      <c r="E51" s="11" t="n">
        <f aca="false">GEOMEAN(E6,E21,E36)</f>
        <v>1</v>
      </c>
      <c r="F51" s="11" t="n">
        <f aca="false">GEOMEAN(F6,F21,F36)</f>
        <v>0.7937005259841</v>
      </c>
      <c r="G51" s="11" t="n">
        <f aca="false">GEOMEAN(B51:F51)</f>
        <v>0.911722488558217</v>
      </c>
      <c r="H51" s="18" t="n">
        <f aca="false">G51/SUM(G$51:G$55)</f>
        <v>0.18133639838676</v>
      </c>
    </row>
    <row r="52" customFormat="false" ht="15" hidden="false" customHeight="false" outlineLevel="0" collapsed="false">
      <c r="A52" s="9" t="s">
        <v>42</v>
      </c>
      <c r="B52" s="11" t="n">
        <f aca="false">GEOMEAN(B7,B22,B37)</f>
        <v>1</v>
      </c>
      <c r="C52" s="11" t="n">
        <f aca="false">GEOMEAN(C7,C22,C37)</f>
        <v>1</v>
      </c>
      <c r="D52" s="11" t="n">
        <f aca="false">GEOMEAN(D7,D22,D37)</f>
        <v>0.629960524947437</v>
      </c>
      <c r="E52" s="11" t="n">
        <f aca="false">GEOMEAN(E7,E22,E37)</f>
        <v>1</v>
      </c>
      <c r="F52" s="11" t="n">
        <f aca="false">GEOMEAN(F7,F22,F37)</f>
        <v>0.7937005259841</v>
      </c>
      <c r="G52" s="11" t="n">
        <f aca="false">GEOMEAN(B52:F52)</f>
        <v>0.870550563296124</v>
      </c>
      <c r="H52" s="18" t="n">
        <f aca="false">G52/SUM(G$51:G$55)</f>
        <v>0.173147537482952</v>
      </c>
    </row>
    <row r="53" customFormat="false" ht="15" hidden="false" customHeight="false" outlineLevel="0" collapsed="false">
      <c r="A53" s="9" t="s">
        <v>43</v>
      </c>
      <c r="B53" s="11" t="n">
        <f aca="false">GEOMEAN(B8,B23,B38)</f>
        <v>1.25992104989487</v>
      </c>
      <c r="C53" s="11" t="n">
        <f aca="false">GEOMEAN(C8,C23,C38)</f>
        <v>1.5874010519682</v>
      </c>
      <c r="D53" s="11" t="n">
        <f aca="false">GEOMEAN(D8,D23,D38)</f>
        <v>1</v>
      </c>
      <c r="E53" s="11" t="n">
        <f aca="false">GEOMEAN(E8,E23,E38)</f>
        <v>1</v>
      </c>
      <c r="F53" s="11" t="n">
        <f aca="false">GEOMEAN(F8,F23,F38)</f>
        <v>1</v>
      </c>
      <c r="G53" s="11" t="n">
        <f aca="false">GEOMEAN(B53:F53)</f>
        <v>1.14869835499703</v>
      </c>
      <c r="H53" s="18" t="n">
        <f aca="false">G53/SUM(G$51:G$55)</f>
        <v>0.228469545439601</v>
      </c>
    </row>
    <row r="54" customFormat="false" ht="15" hidden="false" customHeight="false" outlineLevel="0" collapsed="false">
      <c r="A54" s="9" t="s">
        <v>44</v>
      </c>
      <c r="B54" s="11" t="n">
        <f aca="false">GEOMEAN(B9,B24,B39)</f>
        <v>1</v>
      </c>
      <c r="C54" s="11" t="n">
        <f aca="false">GEOMEAN(C9,C24,C39)</f>
        <v>1</v>
      </c>
      <c r="D54" s="11" t="n">
        <f aca="false">GEOMEAN(D9,D24,D39)</f>
        <v>1</v>
      </c>
      <c r="E54" s="11" t="n">
        <f aca="false">GEOMEAN(E9,E24,E39)</f>
        <v>1</v>
      </c>
      <c r="F54" s="11" t="n">
        <f aca="false">GEOMEAN(F9,F24,F39)</f>
        <v>1</v>
      </c>
      <c r="G54" s="11" t="n">
        <f aca="false">GEOMEAN(B54:F54)</f>
        <v>1</v>
      </c>
      <c r="H54" s="18" t="n">
        <f aca="false">G54/SUM(G$51:G$55)</f>
        <v>0.198894291478454</v>
      </c>
    </row>
    <row r="55" customFormat="false" ht="15" hidden="false" customHeight="false" outlineLevel="0" collapsed="false">
      <c r="A55" s="9" t="s">
        <v>45</v>
      </c>
      <c r="B55" s="11" t="n">
        <f aca="false">GEOMEAN(B10,B25,B40)</f>
        <v>1.25992104989487</v>
      </c>
      <c r="C55" s="11" t="n">
        <f aca="false">GEOMEAN(C10,C25,C40)</f>
        <v>1.25992104989487</v>
      </c>
      <c r="D55" s="11" t="n">
        <f aca="false">GEOMEAN(D10,D25,D40)</f>
        <v>1</v>
      </c>
      <c r="E55" s="11" t="n">
        <f aca="false">GEOMEAN(E10,E25,E40)</f>
        <v>1</v>
      </c>
      <c r="F55" s="11" t="n">
        <f aca="false">GEOMEAN(F10,F25,F40)</f>
        <v>1</v>
      </c>
      <c r="G55" s="11" t="n">
        <f aca="false">GEOMEAN(B55:F55)</f>
        <v>1.09682497969463</v>
      </c>
      <c r="H55" s="18" t="n">
        <f aca="false">G55/SUM(G$51:G$55)</f>
        <v>0.218152227212233</v>
      </c>
    </row>
    <row r="56" customFormat="false" ht="15" hidden="false" customHeight="false" outlineLevel="0" collapsed="false">
      <c r="A56" s="9" t="s">
        <v>66</v>
      </c>
      <c r="B56" s="11" t="n">
        <f aca="false">SUM(B51:B55)</f>
        <v>5.51984209978975</v>
      </c>
      <c r="C56" s="11" t="n">
        <f aca="false">SUM(C51:C55)</f>
        <v>5.84732210186307</v>
      </c>
      <c r="D56" s="11" t="n">
        <f aca="false">SUM(D51:D55)</f>
        <v>4.42366105093154</v>
      </c>
      <c r="E56" s="11" t="n">
        <f aca="false">SUM(E51:E55)</f>
        <v>5</v>
      </c>
      <c r="F56" s="11" t="n">
        <f aca="false">SUM(F51:F55)</f>
        <v>4.5874010519682</v>
      </c>
    </row>
    <row r="57" customFormat="false" ht="15" hidden="false" customHeight="false" outlineLevel="0" collapsed="false">
      <c r="A57" s="9" t="s">
        <v>67</v>
      </c>
      <c r="B57" s="11" t="n">
        <f aca="false">H51</f>
        <v>0.18133639838676</v>
      </c>
      <c r="C57" s="11" t="n">
        <f aca="false">H52</f>
        <v>0.173147537482952</v>
      </c>
      <c r="D57" s="11" t="n">
        <f aca="false">H53</f>
        <v>0.228469545439601</v>
      </c>
      <c r="E57" s="11" t="n">
        <f aca="false">H54</f>
        <v>0.198894291478454</v>
      </c>
      <c r="F57" s="11" t="n">
        <f aca="false">H55</f>
        <v>0.218152227212233</v>
      </c>
    </row>
    <row r="58" customFormat="false" ht="15" hidden="false" customHeight="false" outlineLevel="0" collapsed="false">
      <c r="A58" s="9" t="s">
        <v>68</v>
      </c>
      <c r="B58" s="11" t="n">
        <f aca="false">SUMPRODUCT(B56:F56,B57:F57)</f>
        <v>5.01929275232678</v>
      </c>
    </row>
    <row r="59" customFormat="false" ht="15" hidden="false" customHeight="false" outlineLevel="0" collapsed="false">
      <c r="A59" s="9" t="s">
        <v>69</v>
      </c>
      <c r="B59" s="11" t="n">
        <f aca="false">(B58-5)/(5-1)</f>
        <v>0.00482318808169557</v>
      </c>
    </row>
    <row r="60" customFormat="false" ht="15" hidden="false" customHeight="false" outlineLevel="0" collapsed="false">
      <c r="A60" s="9" t="s">
        <v>70</v>
      </c>
      <c r="B60" s="19" t="n">
        <v>1.12</v>
      </c>
    </row>
    <row r="61" customFormat="false" ht="15" hidden="false" customHeight="false" outlineLevel="0" collapsed="false">
      <c r="A61" s="9" t="s">
        <v>71</v>
      </c>
      <c r="B61" s="20" t="n">
        <f aca="false">B59/B60</f>
        <v>0.00430641793008533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5" activeCellId="0" sqref="A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1"/>
    <col collapsed="false" customWidth="true" hidden="false" outlineLevel="0" max="8" min="7" style="1" width="14"/>
  </cols>
  <sheetData>
    <row r="1" customFormat="false" ht="17.35" hidden="false" customHeight="false" outlineLevel="0" collapsed="false">
      <c r="A1" s="2" t="s">
        <v>81</v>
      </c>
    </row>
    <row r="2" customFormat="false" ht="15" hidden="false" customHeight="false" outlineLevel="0" collapsed="false">
      <c r="A2" s="3" t="s">
        <v>76</v>
      </c>
    </row>
    <row r="4" customFormat="false" ht="15" hidden="false" customHeight="false" outlineLevel="0" collapsed="false">
      <c r="A4" s="4" t="s">
        <v>57</v>
      </c>
    </row>
    <row r="5" customFormat="false" ht="23.85" hidden="false" customHeight="false" outlineLevel="0" collapsed="false">
      <c r="A5" s="6"/>
      <c r="B5" s="6" t="s">
        <v>27</v>
      </c>
      <c r="C5" s="6" t="s">
        <v>29</v>
      </c>
      <c r="D5" s="6" t="s">
        <v>31</v>
      </c>
      <c r="E5" s="6" t="s">
        <v>33</v>
      </c>
      <c r="F5" s="6" t="s">
        <v>35</v>
      </c>
      <c r="G5" s="6" t="s">
        <v>58</v>
      </c>
      <c r="H5" s="6" t="s">
        <v>59</v>
      </c>
    </row>
    <row r="6" customFormat="false" ht="15" hidden="false" customHeight="false" outlineLevel="0" collapsed="false">
      <c r="A6" s="9" t="s">
        <v>41</v>
      </c>
      <c r="B6" s="16" t="n">
        <v>1</v>
      </c>
      <c r="C6" s="17" t="n">
        <v>1</v>
      </c>
      <c r="D6" s="17" t="n">
        <v>2</v>
      </c>
      <c r="E6" s="17" t="n">
        <v>1</v>
      </c>
      <c r="F6" s="17" t="n">
        <v>2</v>
      </c>
      <c r="G6" s="11" t="n">
        <f aca="false">GEOMEAN(B6:F6)</f>
        <v>1.31950791077289</v>
      </c>
      <c r="H6" s="18" t="n">
        <f aca="false">G6/SUM(G$6:G$10)</f>
        <v>0.253491866893064</v>
      </c>
    </row>
    <row r="7" customFormat="false" ht="15" hidden="false" customHeight="false" outlineLevel="0" collapsed="false">
      <c r="A7" s="9" t="s">
        <v>42</v>
      </c>
      <c r="B7" s="16" t="n">
        <f aca="false">1/C6</f>
        <v>1</v>
      </c>
      <c r="C7" s="16" t="n">
        <v>1</v>
      </c>
      <c r="D7" s="17" t="n">
        <v>2</v>
      </c>
      <c r="E7" s="17" t="n">
        <v>1</v>
      </c>
      <c r="F7" s="17" t="n">
        <v>2</v>
      </c>
      <c r="G7" s="11" t="n">
        <f aca="false">GEOMEAN(B7:F7)</f>
        <v>1.31950791077289</v>
      </c>
      <c r="H7" s="18" t="n">
        <f aca="false">G7/SUM(G$6:G$10)</f>
        <v>0.253491866893064</v>
      </c>
    </row>
    <row r="8" customFormat="false" ht="15" hidden="false" customHeight="false" outlineLevel="0" collapsed="false">
      <c r="A8" s="9" t="s">
        <v>43</v>
      </c>
      <c r="B8" s="16" t="n">
        <f aca="false">1/D6</f>
        <v>0.5</v>
      </c>
      <c r="C8" s="16" t="n">
        <f aca="false">1/D7</f>
        <v>0.5</v>
      </c>
      <c r="D8" s="16" t="n">
        <v>1</v>
      </c>
      <c r="E8" s="17" t="n">
        <v>1</v>
      </c>
      <c r="F8" s="17" t="n">
        <v>1</v>
      </c>
      <c r="G8" s="11" t="n">
        <f aca="false">GEOMEAN(B8:F8)</f>
        <v>0.757858283255199</v>
      </c>
      <c r="H8" s="18" t="n">
        <f aca="false">G8/SUM(G$6:G$10)</f>
        <v>0.145592845252595</v>
      </c>
    </row>
    <row r="9" customFormat="false" ht="15" hidden="false" customHeight="false" outlineLevel="0" collapsed="false">
      <c r="A9" s="9" t="s">
        <v>44</v>
      </c>
      <c r="B9" s="16" t="n">
        <f aca="false">1/E6</f>
        <v>1</v>
      </c>
      <c r="C9" s="16" t="n">
        <f aca="false">1/E7</f>
        <v>1</v>
      </c>
      <c r="D9" s="16" t="n">
        <f aca="false">1/E8</f>
        <v>1</v>
      </c>
      <c r="E9" s="16" t="n">
        <v>1</v>
      </c>
      <c r="F9" s="17" t="n">
        <v>2</v>
      </c>
      <c r="G9" s="11" t="n">
        <f aca="false">GEOMEAN(B9:F9)</f>
        <v>1.14869835499704</v>
      </c>
      <c r="H9" s="18" t="n">
        <f aca="false">G9/SUM(G$6:G$10)</f>
        <v>0.220677487514743</v>
      </c>
    </row>
    <row r="10" customFormat="false" ht="15" hidden="false" customHeight="false" outlineLevel="0" collapsed="false">
      <c r="A10" s="9" t="s">
        <v>45</v>
      </c>
      <c r="B10" s="16" t="n">
        <f aca="false">1/F6</f>
        <v>0.5</v>
      </c>
      <c r="C10" s="16" t="n">
        <f aca="false">1/F7</f>
        <v>0.5</v>
      </c>
      <c r="D10" s="16" t="n">
        <f aca="false">1/F8</f>
        <v>1</v>
      </c>
      <c r="E10" s="16" t="n">
        <f aca="false">1/F9</f>
        <v>0.5</v>
      </c>
      <c r="F10" s="16" t="n">
        <v>1</v>
      </c>
      <c r="G10" s="11" t="n">
        <f aca="false">GEOMEAN(B10:F10)</f>
        <v>0.659753955386447</v>
      </c>
      <c r="H10" s="18" t="n">
        <f aca="false">G10/SUM(G$6:G$10)</f>
        <v>0.126745933446532</v>
      </c>
    </row>
    <row r="11" customFormat="false" ht="15" hidden="false" customHeight="false" outlineLevel="0" collapsed="false">
      <c r="A11" s="9" t="s">
        <v>66</v>
      </c>
      <c r="B11" s="11" t="n">
        <f aca="false">SUM(B6:B10)</f>
        <v>4</v>
      </c>
      <c r="C11" s="11" t="n">
        <f aca="false">SUM(C6:C10)</f>
        <v>4</v>
      </c>
      <c r="D11" s="11" t="n">
        <f aca="false">SUM(D6:D10)</f>
        <v>7</v>
      </c>
      <c r="E11" s="11" t="n">
        <f aca="false">SUM(E6:E10)</f>
        <v>4.5</v>
      </c>
      <c r="F11" s="11" t="n">
        <f aca="false">SUM(F6:F10)</f>
        <v>8</v>
      </c>
    </row>
    <row r="12" customFormat="false" ht="15" hidden="false" customHeight="false" outlineLevel="0" collapsed="false">
      <c r="A12" s="9" t="s">
        <v>67</v>
      </c>
      <c r="B12" s="11" t="n">
        <f aca="false">H6</f>
        <v>0.253491866893064</v>
      </c>
      <c r="C12" s="11" t="n">
        <f aca="false">H7</f>
        <v>0.253491866893064</v>
      </c>
      <c r="D12" s="11" t="n">
        <f aca="false">H8</f>
        <v>0.145592845252595</v>
      </c>
      <c r="E12" s="11" t="n">
        <f aca="false">H9</f>
        <v>0.220677487514743</v>
      </c>
      <c r="F12" s="11" t="n">
        <f aca="false">H10</f>
        <v>0.126745933446532</v>
      </c>
    </row>
    <row r="13" customFormat="false" ht="15" hidden="false" customHeight="false" outlineLevel="0" collapsed="false">
      <c r="A13" s="9" t="s">
        <v>68</v>
      </c>
      <c r="B13" s="11" t="n">
        <f aca="false">SUMPRODUCT(B11:F11,B12:F12)</f>
        <v>5.05410101330129</v>
      </c>
    </row>
    <row r="14" customFormat="false" ht="15" hidden="false" customHeight="false" outlineLevel="0" collapsed="false">
      <c r="A14" s="9" t="s">
        <v>69</v>
      </c>
      <c r="B14" s="11" t="n">
        <f aca="false">(B13-5)/(5-1)</f>
        <v>0.0135252533253216</v>
      </c>
    </row>
    <row r="15" customFormat="false" ht="15" hidden="false" customHeight="false" outlineLevel="0" collapsed="false">
      <c r="A15" s="9" t="s">
        <v>70</v>
      </c>
      <c r="B15" s="19" t="n">
        <v>1.12</v>
      </c>
    </row>
    <row r="16" customFormat="false" ht="15" hidden="false" customHeight="false" outlineLevel="0" collapsed="false">
      <c r="A16" s="9" t="s">
        <v>71</v>
      </c>
      <c r="B16" s="20" t="n">
        <f aca="false">B14/B15</f>
        <v>0.0120761190404657</v>
      </c>
    </row>
    <row r="19" customFormat="false" ht="15" hidden="false" customHeight="false" outlineLevel="0" collapsed="false">
      <c r="A19" s="4" t="s">
        <v>72</v>
      </c>
    </row>
    <row r="20" customFormat="false" ht="23.85" hidden="false" customHeight="false" outlineLevel="0" collapsed="false">
      <c r="A20" s="6"/>
      <c r="B20" s="6" t="s">
        <v>27</v>
      </c>
      <c r="C20" s="6" t="s">
        <v>29</v>
      </c>
      <c r="D20" s="6" t="s">
        <v>31</v>
      </c>
      <c r="E20" s="6" t="s">
        <v>33</v>
      </c>
      <c r="F20" s="6" t="s">
        <v>35</v>
      </c>
      <c r="G20" s="6" t="s">
        <v>58</v>
      </c>
      <c r="H20" s="6" t="s">
        <v>59</v>
      </c>
    </row>
    <row r="21" customFormat="false" ht="15" hidden="false" customHeight="false" outlineLevel="0" collapsed="false">
      <c r="A21" s="9" t="s">
        <v>41</v>
      </c>
      <c r="B21" s="16" t="n">
        <v>1</v>
      </c>
      <c r="C21" s="17" t="n">
        <v>2</v>
      </c>
      <c r="D21" s="17" t="n">
        <v>2</v>
      </c>
      <c r="E21" s="17" t="n">
        <v>2</v>
      </c>
      <c r="F21" s="17" t="n">
        <v>2</v>
      </c>
      <c r="G21" s="11" t="n">
        <f aca="false">GEOMEAN(B21:F21)</f>
        <v>1.74110112659225</v>
      </c>
      <c r="H21" s="18" t="n">
        <f aca="false">G21/SUM(G$21:G$25)</f>
        <v>0.333333333333333</v>
      </c>
    </row>
    <row r="22" customFormat="false" ht="15" hidden="false" customHeight="false" outlineLevel="0" collapsed="false">
      <c r="A22" s="9" t="s">
        <v>42</v>
      </c>
      <c r="B22" s="16" t="n">
        <f aca="false">1/C21</f>
        <v>0.5</v>
      </c>
      <c r="C22" s="16" t="n">
        <v>1</v>
      </c>
      <c r="D22" s="17" t="n">
        <v>1</v>
      </c>
      <c r="E22" s="17" t="n">
        <v>1</v>
      </c>
      <c r="F22" s="17" t="n">
        <v>1</v>
      </c>
      <c r="G22" s="11" t="n">
        <f aca="false">GEOMEAN(B22:F22)</f>
        <v>0.870550563296124</v>
      </c>
      <c r="H22" s="18" t="n">
        <f aca="false">G22/SUM(G$21:G$25)</f>
        <v>0.166666666666667</v>
      </c>
    </row>
    <row r="23" customFormat="false" ht="15" hidden="false" customHeight="false" outlineLevel="0" collapsed="false">
      <c r="A23" s="9" t="s">
        <v>43</v>
      </c>
      <c r="B23" s="16" t="n">
        <f aca="false">1/D21</f>
        <v>0.5</v>
      </c>
      <c r="C23" s="16" t="n">
        <f aca="false">1/D22</f>
        <v>1</v>
      </c>
      <c r="D23" s="16" t="n">
        <v>1</v>
      </c>
      <c r="E23" s="17" t="n">
        <v>1</v>
      </c>
      <c r="F23" s="17" t="n">
        <v>1</v>
      </c>
      <c r="G23" s="11" t="n">
        <f aca="false">GEOMEAN(B23:F23)</f>
        <v>0.870550563296124</v>
      </c>
      <c r="H23" s="18" t="n">
        <f aca="false">G23/SUM(G$21:G$25)</f>
        <v>0.166666666666667</v>
      </c>
    </row>
    <row r="24" customFormat="false" ht="15" hidden="false" customHeight="false" outlineLevel="0" collapsed="false">
      <c r="A24" s="9" t="s">
        <v>44</v>
      </c>
      <c r="B24" s="16" t="n">
        <f aca="false">1/E21</f>
        <v>0.5</v>
      </c>
      <c r="C24" s="16" t="n">
        <f aca="false">1/E22</f>
        <v>1</v>
      </c>
      <c r="D24" s="16" t="n">
        <f aca="false">1/E23</f>
        <v>1</v>
      </c>
      <c r="E24" s="16" t="n">
        <v>1</v>
      </c>
      <c r="F24" s="17" t="n">
        <v>1</v>
      </c>
      <c r="G24" s="11" t="n">
        <f aca="false">GEOMEAN(B24:F24)</f>
        <v>0.870550563296124</v>
      </c>
      <c r="H24" s="18" t="n">
        <f aca="false">G24/SUM(G$21:G$25)</f>
        <v>0.166666666666667</v>
      </c>
    </row>
    <row r="25" customFormat="false" ht="15" hidden="false" customHeight="false" outlineLevel="0" collapsed="false">
      <c r="A25" s="9" t="s">
        <v>45</v>
      </c>
      <c r="B25" s="16" t="n">
        <f aca="false">1/F21</f>
        <v>0.5</v>
      </c>
      <c r="C25" s="16" t="n">
        <f aca="false">1/F22</f>
        <v>1</v>
      </c>
      <c r="D25" s="16" t="n">
        <f aca="false">1/F23</f>
        <v>1</v>
      </c>
      <c r="E25" s="16" t="n">
        <f aca="false">1/F24</f>
        <v>1</v>
      </c>
      <c r="F25" s="16" t="n">
        <v>1</v>
      </c>
      <c r="G25" s="11" t="n">
        <f aca="false">GEOMEAN(B25:F25)</f>
        <v>0.870550563296124</v>
      </c>
      <c r="H25" s="18" t="n">
        <f aca="false">G25/SUM(G$21:G$25)</f>
        <v>0.166666666666667</v>
      </c>
    </row>
    <row r="26" customFormat="false" ht="15" hidden="false" customHeight="false" outlineLevel="0" collapsed="false">
      <c r="A26" s="9" t="s">
        <v>66</v>
      </c>
      <c r="B26" s="11" t="n">
        <f aca="false">SUM(B21:B25)</f>
        <v>3</v>
      </c>
      <c r="C26" s="11" t="n">
        <f aca="false">SUM(C21:C25)</f>
        <v>6</v>
      </c>
      <c r="D26" s="11" t="n">
        <f aca="false">SUM(D21:D25)</f>
        <v>6</v>
      </c>
      <c r="E26" s="11" t="n">
        <f aca="false">SUM(E21:E25)</f>
        <v>6</v>
      </c>
      <c r="F26" s="11" t="n">
        <f aca="false">SUM(F21:F25)</f>
        <v>6</v>
      </c>
    </row>
    <row r="27" customFormat="false" ht="15" hidden="false" customHeight="false" outlineLevel="0" collapsed="false">
      <c r="A27" s="9" t="s">
        <v>67</v>
      </c>
      <c r="B27" s="11" t="n">
        <f aca="false">H21</f>
        <v>0.333333333333333</v>
      </c>
      <c r="C27" s="11" t="n">
        <f aca="false">H22</f>
        <v>0.166666666666667</v>
      </c>
      <c r="D27" s="11" t="n">
        <f aca="false">H23</f>
        <v>0.166666666666667</v>
      </c>
      <c r="E27" s="11" t="n">
        <f aca="false">H24</f>
        <v>0.166666666666667</v>
      </c>
      <c r="F27" s="11" t="n">
        <f aca="false">H25</f>
        <v>0.166666666666667</v>
      </c>
    </row>
    <row r="28" customFormat="false" ht="15" hidden="false" customHeight="false" outlineLevel="0" collapsed="false">
      <c r="A28" s="9" t="s">
        <v>68</v>
      </c>
      <c r="B28" s="11" t="n">
        <f aca="false">SUMPRODUCT(B26:F26,B27:F27)</f>
        <v>5</v>
      </c>
    </row>
    <row r="29" customFormat="false" ht="15" hidden="false" customHeight="false" outlineLevel="0" collapsed="false">
      <c r="A29" s="9" t="s">
        <v>69</v>
      </c>
      <c r="B29" s="11" t="n">
        <f aca="false">(B28-5)/(5-1)</f>
        <v>0</v>
      </c>
    </row>
    <row r="30" customFormat="false" ht="15" hidden="false" customHeight="false" outlineLevel="0" collapsed="false">
      <c r="A30" s="9" t="s">
        <v>70</v>
      </c>
      <c r="B30" s="19" t="n">
        <v>1.12</v>
      </c>
    </row>
    <row r="31" customFormat="false" ht="15" hidden="false" customHeight="false" outlineLevel="0" collapsed="false">
      <c r="A31" s="9" t="s">
        <v>71</v>
      </c>
      <c r="B31" s="20" t="n">
        <f aca="false">B29/B30</f>
        <v>0</v>
      </c>
    </row>
    <row r="34" customFormat="false" ht="15" hidden="false" customHeight="false" outlineLevel="0" collapsed="false">
      <c r="A34" s="4" t="s">
        <v>73</v>
      </c>
    </row>
    <row r="35" customFormat="false" ht="23.85" hidden="false" customHeight="false" outlineLevel="0" collapsed="false">
      <c r="A35" s="6"/>
      <c r="B35" s="6" t="s">
        <v>27</v>
      </c>
      <c r="C35" s="6" t="s">
        <v>29</v>
      </c>
      <c r="D35" s="6" t="s">
        <v>31</v>
      </c>
      <c r="E35" s="6" t="s">
        <v>33</v>
      </c>
      <c r="F35" s="6" t="s">
        <v>35</v>
      </c>
      <c r="G35" s="6" t="s">
        <v>58</v>
      </c>
      <c r="H35" s="6" t="s">
        <v>59</v>
      </c>
    </row>
    <row r="36" customFormat="false" ht="15" hidden="false" customHeight="false" outlineLevel="0" collapsed="false">
      <c r="A36" s="9" t="s">
        <v>41</v>
      </c>
      <c r="B36" s="16" t="n">
        <v>1</v>
      </c>
      <c r="C36" s="17" t="n">
        <v>1</v>
      </c>
      <c r="D36" s="17" t="n">
        <v>2</v>
      </c>
      <c r="E36" s="17" t="n">
        <v>1</v>
      </c>
      <c r="F36" s="17" t="n">
        <v>2</v>
      </c>
      <c r="G36" s="11" t="n">
        <f aca="false">GEOMEAN(B36:F36)</f>
        <v>1.31950791077289</v>
      </c>
      <c r="H36" s="18" t="n">
        <f aca="false">G36/SUM(G$36:G$40)</f>
        <v>0.25</v>
      </c>
    </row>
    <row r="37" customFormat="false" ht="15" hidden="false" customHeight="false" outlineLevel="0" collapsed="false">
      <c r="A37" s="9" t="s">
        <v>42</v>
      </c>
      <c r="B37" s="16" t="n">
        <f aca="false">1/C36</f>
        <v>1</v>
      </c>
      <c r="C37" s="16" t="n">
        <v>1</v>
      </c>
      <c r="D37" s="17" t="n">
        <v>2</v>
      </c>
      <c r="E37" s="17" t="n">
        <v>1</v>
      </c>
      <c r="F37" s="17" t="n">
        <v>2</v>
      </c>
      <c r="G37" s="11" t="n">
        <f aca="false">GEOMEAN(B37:F37)</f>
        <v>1.31950791077289</v>
      </c>
      <c r="H37" s="18" t="n">
        <f aca="false">G37/SUM(G$36:G$40)</f>
        <v>0.25</v>
      </c>
    </row>
    <row r="38" customFormat="false" ht="15" hidden="false" customHeight="false" outlineLevel="0" collapsed="false">
      <c r="A38" s="9" t="s">
        <v>43</v>
      </c>
      <c r="B38" s="16" t="n">
        <f aca="false">1/D36</f>
        <v>0.5</v>
      </c>
      <c r="C38" s="16" t="n">
        <f aca="false">1/D37</f>
        <v>0.5</v>
      </c>
      <c r="D38" s="16" t="n">
        <v>1</v>
      </c>
      <c r="E38" s="17" t="n">
        <f aca="false">1/2</f>
        <v>0.5</v>
      </c>
      <c r="F38" s="17" t="n">
        <v>1</v>
      </c>
      <c r="G38" s="11" t="n">
        <f aca="false">GEOMEAN(B38:F38)</f>
        <v>0.659753955386447</v>
      </c>
      <c r="H38" s="18" t="n">
        <f aca="false">G38/SUM(G$36:G$40)</f>
        <v>0.125</v>
      </c>
    </row>
    <row r="39" customFormat="false" ht="15" hidden="false" customHeight="false" outlineLevel="0" collapsed="false">
      <c r="A39" s="9" t="s">
        <v>44</v>
      </c>
      <c r="B39" s="16" t="n">
        <f aca="false">1/E36</f>
        <v>1</v>
      </c>
      <c r="C39" s="16" t="n">
        <f aca="false">1/E37</f>
        <v>1</v>
      </c>
      <c r="D39" s="16" t="n">
        <f aca="false">1/E38</f>
        <v>2</v>
      </c>
      <c r="E39" s="16" t="n">
        <v>1</v>
      </c>
      <c r="F39" s="17" t="n">
        <v>2</v>
      </c>
      <c r="G39" s="11" t="n">
        <f aca="false">GEOMEAN(B39:F39)</f>
        <v>1.31950791077289</v>
      </c>
      <c r="H39" s="18" t="n">
        <f aca="false">G39/SUM(G$36:G$40)</f>
        <v>0.25</v>
      </c>
    </row>
    <row r="40" customFormat="false" ht="15" hidden="false" customHeight="false" outlineLevel="0" collapsed="false">
      <c r="A40" s="9" t="s">
        <v>45</v>
      </c>
      <c r="B40" s="16" t="n">
        <f aca="false">1/F36</f>
        <v>0.5</v>
      </c>
      <c r="C40" s="16" t="n">
        <f aca="false">1/F37</f>
        <v>0.5</v>
      </c>
      <c r="D40" s="16" t="n">
        <f aca="false">1/F38</f>
        <v>1</v>
      </c>
      <c r="E40" s="16" t="n">
        <f aca="false">1/F39</f>
        <v>0.5</v>
      </c>
      <c r="F40" s="16" t="n">
        <v>1</v>
      </c>
      <c r="G40" s="11" t="n">
        <f aca="false">GEOMEAN(B40:F40)</f>
        <v>0.659753955386447</v>
      </c>
      <c r="H40" s="18" t="n">
        <f aca="false">G40/SUM(G$36:G$40)</f>
        <v>0.125</v>
      </c>
    </row>
    <row r="41" customFormat="false" ht="15" hidden="false" customHeight="false" outlineLevel="0" collapsed="false">
      <c r="A41" s="9" t="s">
        <v>66</v>
      </c>
      <c r="B41" s="11" t="n">
        <f aca="false">SUM(B36:B40)</f>
        <v>4</v>
      </c>
      <c r="C41" s="11" t="n">
        <f aca="false">SUM(C36:C40)</f>
        <v>4</v>
      </c>
      <c r="D41" s="11" t="n">
        <f aca="false">SUM(D36:D40)</f>
        <v>8</v>
      </c>
      <c r="E41" s="11" t="n">
        <f aca="false">SUM(E36:E40)</f>
        <v>4</v>
      </c>
      <c r="F41" s="11" t="n">
        <f aca="false">SUM(F36:F40)</f>
        <v>8</v>
      </c>
    </row>
    <row r="42" customFormat="false" ht="15" hidden="false" customHeight="false" outlineLevel="0" collapsed="false">
      <c r="A42" s="9" t="s">
        <v>67</v>
      </c>
      <c r="B42" s="11" t="n">
        <f aca="false">H36</f>
        <v>0.25</v>
      </c>
      <c r="C42" s="11" t="n">
        <f aca="false">H37</f>
        <v>0.25</v>
      </c>
      <c r="D42" s="11" t="n">
        <f aca="false">H38</f>
        <v>0.125</v>
      </c>
      <c r="E42" s="11" t="n">
        <f aca="false">H39</f>
        <v>0.25</v>
      </c>
      <c r="F42" s="11" t="n">
        <f aca="false">H40</f>
        <v>0.125</v>
      </c>
    </row>
    <row r="43" customFormat="false" ht="15" hidden="false" customHeight="false" outlineLevel="0" collapsed="false">
      <c r="A43" s="9" t="s">
        <v>68</v>
      </c>
      <c r="B43" s="11" t="n">
        <f aca="false">SUMPRODUCT(B41:F41,B42:F42)</f>
        <v>5</v>
      </c>
    </row>
    <row r="44" customFormat="false" ht="15" hidden="false" customHeight="false" outlineLevel="0" collapsed="false">
      <c r="A44" s="9" t="s">
        <v>69</v>
      </c>
      <c r="B44" s="11" t="n">
        <f aca="false">(B43-5)/(5-1)</f>
        <v>0</v>
      </c>
    </row>
    <row r="45" customFormat="false" ht="15" hidden="false" customHeight="false" outlineLevel="0" collapsed="false">
      <c r="A45" s="9" t="s">
        <v>70</v>
      </c>
      <c r="B45" s="19" t="n">
        <v>1.12</v>
      </c>
    </row>
    <row r="46" customFormat="false" ht="15" hidden="false" customHeight="false" outlineLevel="0" collapsed="false">
      <c r="A46" s="9" t="s">
        <v>71</v>
      </c>
      <c r="B46" s="20" t="n">
        <f aca="false">B44/B45</f>
        <v>0</v>
      </c>
    </row>
    <row r="49" customFormat="false" ht="15" hidden="false" customHeight="false" outlineLevel="0" collapsed="false">
      <c r="A49" s="4" t="s">
        <v>74</v>
      </c>
    </row>
    <row r="50" customFormat="false" ht="23.85" hidden="false" customHeight="false" outlineLevel="0" collapsed="false">
      <c r="A50" s="6"/>
      <c r="B50" s="6" t="s">
        <v>27</v>
      </c>
      <c r="C50" s="6" t="s">
        <v>29</v>
      </c>
      <c r="D50" s="6" t="s">
        <v>31</v>
      </c>
      <c r="E50" s="6" t="s">
        <v>33</v>
      </c>
      <c r="F50" s="6" t="s">
        <v>35</v>
      </c>
      <c r="G50" s="6" t="s">
        <v>58</v>
      </c>
      <c r="H50" s="6" t="s">
        <v>59</v>
      </c>
    </row>
    <row r="51" customFormat="false" ht="15" hidden="false" customHeight="false" outlineLevel="0" collapsed="false">
      <c r="A51" s="9" t="s">
        <v>41</v>
      </c>
      <c r="B51" s="11" t="n">
        <f aca="false">GEOMEAN(B6,B21,B36)</f>
        <v>1</v>
      </c>
      <c r="C51" s="11" t="n">
        <f aca="false">GEOMEAN(C6,C21,C36)</f>
        <v>1.25992104989487</v>
      </c>
      <c r="D51" s="11" t="n">
        <f aca="false">GEOMEAN(D6,D21,D36)</f>
        <v>2</v>
      </c>
      <c r="E51" s="11" t="n">
        <f aca="false">GEOMEAN(E6,E21,E36)</f>
        <v>1.25992104989487</v>
      </c>
      <c r="F51" s="11" t="n">
        <f aca="false">GEOMEAN(F6,F21,F36)</f>
        <v>2</v>
      </c>
      <c r="G51" s="11" t="n">
        <f aca="false">GEOMEAN(B51:F51)</f>
        <v>1.44726923744038</v>
      </c>
      <c r="H51" s="18" t="n">
        <f aca="false">G51/SUM(G$51:G$55)</f>
        <v>0.279704172621058</v>
      </c>
    </row>
    <row r="52" customFormat="false" ht="15" hidden="false" customHeight="false" outlineLevel="0" collapsed="false">
      <c r="A52" s="9" t="s">
        <v>42</v>
      </c>
      <c r="B52" s="11" t="n">
        <f aca="false">GEOMEAN(B7,B22,B37)</f>
        <v>0.7937005259841</v>
      </c>
      <c r="C52" s="11" t="n">
        <f aca="false">GEOMEAN(C7,C22,C37)</f>
        <v>1</v>
      </c>
      <c r="D52" s="11" t="n">
        <f aca="false">GEOMEAN(D7,D22,D37)</f>
        <v>1.5874010519682</v>
      </c>
      <c r="E52" s="11" t="n">
        <f aca="false">GEOMEAN(E7,E22,E37)</f>
        <v>1</v>
      </c>
      <c r="F52" s="11" t="n">
        <f aca="false">GEOMEAN(F7,F22,F37)</f>
        <v>1.5874010519682</v>
      </c>
      <c r="G52" s="11" t="n">
        <f aca="false">GEOMEAN(B52:F52)</f>
        <v>1.14869835499703</v>
      </c>
      <c r="H52" s="18" t="n">
        <f aca="false">G52/SUM(G$51:G$55)</f>
        <v>0.222001348929281</v>
      </c>
    </row>
    <row r="53" customFormat="false" ht="15" hidden="false" customHeight="false" outlineLevel="0" collapsed="false">
      <c r="A53" s="9" t="s">
        <v>43</v>
      </c>
      <c r="B53" s="11" t="n">
        <f aca="false">GEOMEAN(B8,B23,B38)</f>
        <v>0.5</v>
      </c>
      <c r="C53" s="11" t="n">
        <f aca="false">GEOMEAN(C8,C23,C38)</f>
        <v>0.629960524947437</v>
      </c>
      <c r="D53" s="11" t="n">
        <f aca="false">GEOMEAN(D8,D23,D38)</f>
        <v>1</v>
      </c>
      <c r="E53" s="11" t="n">
        <f aca="false">GEOMEAN(E8,E23,E38)</f>
        <v>0.7937005259841</v>
      </c>
      <c r="F53" s="11" t="n">
        <f aca="false">GEOMEAN(F8,F23,F38)</f>
        <v>1</v>
      </c>
      <c r="G53" s="11" t="n">
        <f aca="false">GEOMEAN(B53:F53)</f>
        <v>0.757858283255199</v>
      </c>
      <c r="H53" s="18" t="n">
        <f aca="false">G53/SUM(G$51:G$55)</f>
        <v>0.14646626805722</v>
      </c>
    </row>
    <row r="54" customFormat="false" ht="15" hidden="false" customHeight="false" outlineLevel="0" collapsed="false">
      <c r="A54" s="9" t="s">
        <v>44</v>
      </c>
      <c r="B54" s="11" t="n">
        <f aca="false">GEOMEAN(B9,B24,B39)</f>
        <v>0.7937005259841</v>
      </c>
      <c r="C54" s="11" t="n">
        <f aca="false">GEOMEAN(C9,C24,C39)</f>
        <v>1</v>
      </c>
      <c r="D54" s="11" t="n">
        <f aca="false">GEOMEAN(D9,D24,D39)</f>
        <v>1.25992104989487</v>
      </c>
      <c r="E54" s="11" t="n">
        <f aca="false">GEOMEAN(E9,E24,E39)</f>
        <v>1</v>
      </c>
      <c r="F54" s="11" t="n">
        <f aca="false">GEOMEAN(F9,F24,F39)</f>
        <v>1.5874010519682</v>
      </c>
      <c r="G54" s="11" t="n">
        <f aca="false">GEOMEAN(B54:F54)</f>
        <v>1.09682497969463</v>
      </c>
      <c r="H54" s="18" t="n">
        <f aca="false">G54/SUM(G$51:G$55)</f>
        <v>0.211976124081911</v>
      </c>
    </row>
    <row r="55" customFormat="false" ht="15" hidden="false" customHeight="false" outlineLevel="0" collapsed="false">
      <c r="A55" s="9" t="s">
        <v>45</v>
      </c>
      <c r="B55" s="11" t="n">
        <f aca="false">GEOMEAN(B10,B25,B40)</f>
        <v>0.5</v>
      </c>
      <c r="C55" s="11" t="n">
        <f aca="false">GEOMEAN(C10,C25,C40)</f>
        <v>0.629960524947437</v>
      </c>
      <c r="D55" s="11" t="n">
        <f aca="false">GEOMEAN(D10,D25,D40)</f>
        <v>1</v>
      </c>
      <c r="E55" s="11" t="n">
        <f aca="false">GEOMEAN(E10,E25,E40)</f>
        <v>0.629960524947437</v>
      </c>
      <c r="F55" s="11" t="n">
        <f aca="false">GEOMEAN(F10,F25,F40)</f>
        <v>1</v>
      </c>
      <c r="G55" s="11" t="n">
        <f aca="false">GEOMEAN(B55:F55)</f>
        <v>0.723634618720189</v>
      </c>
      <c r="H55" s="18" t="n">
        <f aca="false">G55/SUM(G$51:G$55)</f>
        <v>0.139852086310529</v>
      </c>
    </row>
    <row r="56" customFormat="false" ht="15" hidden="false" customHeight="false" outlineLevel="0" collapsed="false">
      <c r="A56" s="9" t="s">
        <v>66</v>
      </c>
      <c r="B56" s="11" t="n">
        <f aca="false">SUM(B51:B55)</f>
        <v>3.5874010519682</v>
      </c>
      <c r="C56" s="11" t="n">
        <f aca="false">SUM(C51:C55)</f>
        <v>4.51984209978975</v>
      </c>
      <c r="D56" s="11" t="n">
        <f aca="false">SUM(D51:D55)</f>
        <v>6.84732210186307</v>
      </c>
      <c r="E56" s="11" t="n">
        <f aca="false">SUM(E51:E55)</f>
        <v>4.68358210082641</v>
      </c>
      <c r="F56" s="11" t="n">
        <f aca="false">SUM(F51:F55)</f>
        <v>7.1748021039364</v>
      </c>
    </row>
    <row r="57" customFormat="false" ht="15" hidden="false" customHeight="false" outlineLevel="0" collapsed="false">
      <c r="A57" s="9" t="s">
        <v>67</v>
      </c>
      <c r="B57" s="11" t="n">
        <f aca="false">H51</f>
        <v>0.279704172621058</v>
      </c>
      <c r="C57" s="11" t="n">
        <f aca="false">H52</f>
        <v>0.222001348929281</v>
      </c>
      <c r="D57" s="11" t="n">
        <f aca="false">H53</f>
        <v>0.14646626805722</v>
      </c>
      <c r="E57" s="11" t="n">
        <f aca="false">H54</f>
        <v>0.211976124081911</v>
      </c>
      <c r="F57" s="11" t="n">
        <f aca="false">H55</f>
        <v>0.139852086310529</v>
      </c>
    </row>
    <row r="58" customFormat="false" ht="15" hidden="false" customHeight="false" outlineLevel="0" collapsed="false">
      <c r="A58" s="9" t="s">
        <v>68</v>
      </c>
      <c r="B58" s="11" t="n">
        <f aca="false">SUMPRODUCT(B56:F56,B57:F57)</f>
        <v>5.00594242430024</v>
      </c>
    </row>
    <row r="59" customFormat="false" ht="15" hidden="false" customHeight="false" outlineLevel="0" collapsed="false">
      <c r="A59" s="9" t="s">
        <v>69</v>
      </c>
      <c r="B59" s="11" t="n">
        <f aca="false">(B58-5)/(5-1)</f>
        <v>0.00148560607505988</v>
      </c>
    </row>
    <row r="60" customFormat="false" ht="15" hidden="false" customHeight="false" outlineLevel="0" collapsed="false">
      <c r="A60" s="9" t="s">
        <v>70</v>
      </c>
      <c r="B60" s="19" t="n">
        <v>1.12</v>
      </c>
    </row>
    <row r="61" customFormat="false" ht="15" hidden="false" customHeight="false" outlineLevel="0" collapsed="false">
      <c r="A61" s="9" t="s">
        <v>71</v>
      </c>
      <c r="B61" s="20" t="n">
        <f aca="false">B59/B60</f>
        <v>0.00132643399558917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1"/>
    <col collapsed="false" customWidth="true" hidden="false" outlineLevel="0" max="8" min="7" style="1" width="14"/>
  </cols>
  <sheetData>
    <row r="1" customFormat="false" ht="17.35" hidden="false" customHeight="false" outlineLevel="0" collapsed="false">
      <c r="A1" s="2" t="s">
        <v>82</v>
      </c>
    </row>
    <row r="2" customFormat="false" ht="15" hidden="false" customHeight="false" outlineLevel="0" collapsed="false">
      <c r="A2" s="3" t="s">
        <v>78</v>
      </c>
    </row>
    <row r="4" customFormat="false" ht="15" hidden="false" customHeight="false" outlineLevel="0" collapsed="false">
      <c r="A4" s="4" t="s">
        <v>57</v>
      </c>
    </row>
    <row r="5" customFormat="false" ht="23.85" hidden="false" customHeight="false" outlineLevel="0" collapsed="false">
      <c r="A5" s="6"/>
      <c r="B5" s="6" t="s">
        <v>27</v>
      </c>
      <c r="C5" s="6" t="s">
        <v>29</v>
      </c>
      <c r="D5" s="6" t="s">
        <v>31</v>
      </c>
      <c r="E5" s="6" t="s">
        <v>33</v>
      </c>
      <c r="F5" s="6" t="s">
        <v>35</v>
      </c>
      <c r="G5" s="6" t="s">
        <v>58</v>
      </c>
      <c r="H5" s="6" t="s">
        <v>59</v>
      </c>
    </row>
    <row r="6" customFormat="false" ht="15" hidden="false" customHeight="false" outlineLevel="0" collapsed="false">
      <c r="A6" s="9" t="s">
        <v>41</v>
      </c>
      <c r="B6" s="16" t="n">
        <v>1</v>
      </c>
      <c r="C6" s="17" t="n">
        <v>1</v>
      </c>
      <c r="D6" s="17" t="n">
        <f aca="false">1/2</f>
        <v>0.5</v>
      </c>
      <c r="E6" s="17" t="n">
        <f aca="false">1/2</f>
        <v>0.5</v>
      </c>
      <c r="F6" s="17" t="n">
        <f aca="false">1/2</f>
        <v>0.5</v>
      </c>
      <c r="G6" s="11" t="n">
        <f aca="false">GEOMEAN(B6:F6)</f>
        <v>0.659753955386447</v>
      </c>
      <c r="H6" s="18" t="n">
        <f aca="false">G6/SUM(G$6:G$10)</f>
        <v>0.125</v>
      </c>
    </row>
    <row r="7" customFormat="false" ht="15" hidden="false" customHeight="false" outlineLevel="0" collapsed="false">
      <c r="A7" s="9" t="s">
        <v>42</v>
      </c>
      <c r="B7" s="16" t="n">
        <f aca="false">1/C6</f>
        <v>1</v>
      </c>
      <c r="C7" s="16" t="n">
        <v>1</v>
      </c>
      <c r="D7" s="17" t="n">
        <f aca="false">1/2</f>
        <v>0.5</v>
      </c>
      <c r="E7" s="17" t="n">
        <f aca="false">1/2</f>
        <v>0.5</v>
      </c>
      <c r="F7" s="17" t="n">
        <f aca="false">1/2</f>
        <v>0.5</v>
      </c>
      <c r="G7" s="11" t="n">
        <f aca="false">GEOMEAN(B7:F7)</f>
        <v>0.659753955386447</v>
      </c>
      <c r="H7" s="18" t="n">
        <f aca="false">G7/SUM(G$6:G$10)</f>
        <v>0.125</v>
      </c>
    </row>
    <row r="8" customFormat="false" ht="15" hidden="false" customHeight="false" outlineLevel="0" collapsed="false">
      <c r="A8" s="9" t="s">
        <v>43</v>
      </c>
      <c r="B8" s="16" t="n">
        <f aca="false">1/D6</f>
        <v>2</v>
      </c>
      <c r="C8" s="16" t="n">
        <f aca="false">1/D7</f>
        <v>2</v>
      </c>
      <c r="D8" s="16" t="n">
        <v>1</v>
      </c>
      <c r="E8" s="17" t="n">
        <v>1</v>
      </c>
      <c r="F8" s="17" t="n">
        <v>1</v>
      </c>
      <c r="G8" s="11" t="n">
        <f aca="false">GEOMEAN(B8:F8)</f>
        <v>1.31950791077289</v>
      </c>
      <c r="H8" s="18" t="n">
        <f aca="false">G8/SUM(G$6:G$10)</f>
        <v>0.25</v>
      </c>
    </row>
    <row r="9" customFormat="false" ht="15" hidden="false" customHeight="false" outlineLevel="0" collapsed="false">
      <c r="A9" s="9" t="s">
        <v>44</v>
      </c>
      <c r="B9" s="16" t="n">
        <f aca="false">1/E6</f>
        <v>2</v>
      </c>
      <c r="C9" s="16" t="n">
        <f aca="false">1/E7</f>
        <v>2</v>
      </c>
      <c r="D9" s="16" t="n">
        <f aca="false">1/E8</f>
        <v>1</v>
      </c>
      <c r="E9" s="16" t="n">
        <v>1</v>
      </c>
      <c r="F9" s="17" t="n">
        <v>1</v>
      </c>
      <c r="G9" s="11" t="n">
        <f aca="false">GEOMEAN(B9:F9)</f>
        <v>1.31950791077289</v>
      </c>
      <c r="H9" s="18" t="n">
        <f aca="false">G9/SUM(G$6:G$10)</f>
        <v>0.25</v>
      </c>
    </row>
    <row r="10" customFormat="false" ht="15" hidden="false" customHeight="false" outlineLevel="0" collapsed="false">
      <c r="A10" s="9" t="s">
        <v>45</v>
      </c>
      <c r="B10" s="16" t="n">
        <f aca="false">1/F6</f>
        <v>2</v>
      </c>
      <c r="C10" s="16" t="n">
        <f aca="false">1/F7</f>
        <v>2</v>
      </c>
      <c r="D10" s="16" t="n">
        <f aca="false">1/F8</f>
        <v>1</v>
      </c>
      <c r="E10" s="16" t="n">
        <f aca="false">1/F9</f>
        <v>1</v>
      </c>
      <c r="F10" s="16" t="n">
        <v>1</v>
      </c>
      <c r="G10" s="11" t="n">
        <f aca="false">GEOMEAN(B10:F10)</f>
        <v>1.31950791077289</v>
      </c>
      <c r="H10" s="18" t="n">
        <f aca="false">G10/SUM(G$6:G$10)</f>
        <v>0.25</v>
      </c>
    </row>
    <row r="11" customFormat="false" ht="15" hidden="false" customHeight="false" outlineLevel="0" collapsed="false">
      <c r="A11" s="9" t="s">
        <v>66</v>
      </c>
      <c r="B11" s="11" t="n">
        <f aca="false">SUM(B6:B10)</f>
        <v>8</v>
      </c>
      <c r="C11" s="11" t="n">
        <f aca="false">SUM(C6:C10)</f>
        <v>8</v>
      </c>
      <c r="D11" s="11" t="n">
        <f aca="false">SUM(D6:D10)</f>
        <v>4</v>
      </c>
      <c r="E11" s="11" t="n">
        <f aca="false">SUM(E6:E10)</f>
        <v>4</v>
      </c>
      <c r="F11" s="11" t="n">
        <f aca="false">SUM(F6:F10)</f>
        <v>4</v>
      </c>
    </row>
    <row r="12" customFormat="false" ht="15" hidden="false" customHeight="false" outlineLevel="0" collapsed="false">
      <c r="A12" s="9" t="s">
        <v>67</v>
      </c>
      <c r="B12" s="11" t="n">
        <f aca="false">H6</f>
        <v>0.125</v>
      </c>
      <c r="C12" s="11" t="n">
        <f aca="false">H7</f>
        <v>0.125</v>
      </c>
      <c r="D12" s="11" t="n">
        <f aca="false">H8</f>
        <v>0.25</v>
      </c>
      <c r="E12" s="11" t="n">
        <f aca="false">H9</f>
        <v>0.25</v>
      </c>
      <c r="F12" s="11" t="n">
        <f aca="false">H10</f>
        <v>0.25</v>
      </c>
    </row>
    <row r="13" customFormat="false" ht="15" hidden="false" customHeight="false" outlineLevel="0" collapsed="false">
      <c r="A13" s="9" t="s">
        <v>68</v>
      </c>
      <c r="B13" s="11" t="n">
        <f aca="false">SUMPRODUCT(B11:F11,B12:F12)</f>
        <v>5</v>
      </c>
    </row>
    <row r="14" customFormat="false" ht="15" hidden="false" customHeight="false" outlineLevel="0" collapsed="false">
      <c r="A14" s="9" t="s">
        <v>69</v>
      </c>
      <c r="B14" s="11" t="n">
        <f aca="false">(B13-5)/(5-1)</f>
        <v>0</v>
      </c>
    </row>
    <row r="15" customFormat="false" ht="15" hidden="false" customHeight="false" outlineLevel="0" collapsed="false">
      <c r="A15" s="9" t="s">
        <v>70</v>
      </c>
      <c r="B15" s="19" t="n">
        <v>1.12</v>
      </c>
    </row>
    <row r="16" customFormat="false" ht="15" hidden="false" customHeight="false" outlineLevel="0" collapsed="false">
      <c r="A16" s="9" t="s">
        <v>71</v>
      </c>
      <c r="B16" s="20" t="n">
        <f aca="false">B14/B15</f>
        <v>0</v>
      </c>
    </row>
    <row r="19" customFormat="false" ht="15" hidden="false" customHeight="false" outlineLevel="0" collapsed="false">
      <c r="A19" s="4" t="s">
        <v>72</v>
      </c>
    </row>
    <row r="20" customFormat="false" ht="23.85" hidden="false" customHeight="false" outlineLevel="0" collapsed="false">
      <c r="A20" s="6"/>
      <c r="B20" s="6" t="s">
        <v>27</v>
      </c>
      <c r="C20" s="6" t="s">
        <v>29</v>
      </c>
      <c r="D20" s="6" t="s">
        <v>31</v>
      </c>
      <c r="E20" s="6" t="s">
        <v>33</v>
      </c>
      <c r="F20" s="6" t="s">
        <v>35</v>
      </c>
      <c r="G20" s="6" t="s">
        <v>58</v>
      </c>
      <c r="H20" s="6" t="s">
        <v>59</v>
      </c>
    </row>
    <row r="21" customFormat="false" ht="15" hidden="false" customHeight="false" outlineLevel="0" collapsed="false">
      <c r="A21" s="9" t="s">
        <v>41</v>
      </c>
      <c r="B21" s="16" t="n">
        <v>1</v>
      </c>
      <c r="C21" s="17" t="n">
        <v>1</v>
      </c>
      <c r="D21" s="17" t="n">
        <f aca="false">1/2</f>
        <v>0.5</v>
      </c>
      <c r="E21" s="17" t="n">
        <f aca="false">1/2</f>
        <v>0.5</v>
      </c>
      <c r="F21" s="17" t="n">
        <v>1</v>
      </c>
      <c r="G21" s="11" t="n">
        <f aca="false">GEOMEAN(B21:F21)</f>
        <v>0.757858283255199</v>
      </c>
      <c r="H21" s="18" t="n">
        <f aca="false">G21/SUM(G$21:G$25)</f>
        <v>0.138272451439925</v>
      </c>
    </row>
    <row r="22" customFormat="false" ht="15" hidden="false" customHeight="false" outlineLevel="0" collapsed="false">
      <c r="A22" s="9" t="s">
        <v>42</v>
      </c>
      <c r="B22" s="16" t="n">
        <f aca="false">1/C21</f>
        <v>1</v>
      </c>
      <c r="C22" s="16" t="n">
        <v>1</v>
      </c>
      <c r="D22" s="17" t="n">
        <f aca="false">1/2</f>
        <v>0.5</v>
      </c>
      <c r="E22" s="17" t="n">
        <f aca="false">1/4</f>
        <v>0.25</v>
      </c>
      <c r="F22" s="17" t="n">
        <f aca="false">1/2</f>
        <v>0.5</v>
      </c>
      <c r="G22" s="11" t="n">
        <f aca="false">GEOMEAN(B22:F22)</f>
        <v>0.574349177498518</v>
      </c>
      <c r="H22" s="18" t="n">
        <f aca="false">G22/SUM(G$21:G$25)</f>
        <v>0.10479092266975</v>
      </c>
    </row>
    <row r="23" customFormat="false" ht="15" hidden="false" customHeight="false" outlineLevel="0" collapsed="false">
      <c r="A23" s="9" t="s">
        <v>43</v>
      </c>
      <c r="B23" s="16" t="n">
        <f aca="false">1/D21</f>
        <v>2</v>
      </c>
      <c r="C23" s="16" t="n">
        <f aca="false">1/D22</f>
        <v>2</v>
      </c>
      <c r="D23" s="16" t="n">
        <v>1</v>
      </c>
      <c r="E23" s="17" t="n">
        <f aca="false">1/2</f>
        <v>0.5</v>
      </c>
      <c r="F23" s="17" t="n">
        <v>1</v>
      </c>
      <c r="G23" s="11" t="n">
        <f aca="false">GEOMEAN(B23:F23)</f>
        <v>1.14869835499704</v>
      </c>
      <c r="H23" s="18" t="n">
        <f aca="false">G23/SUM(G$21:G$25)</f>
        <v>0.209581845339499</v>
      </c>
    </row>
    <row r="24" customFormat="false" ht="15" hidden="false" customHeight="false" outlineLevel="0" collapsed="false">
      <c r="A24" s="9" t="s">
        <v>44</v>
      </c>
      <c r="B24" s="16" t="n">
        <f aca="false">1/E21</f>
        <v>2</v>
      </c>
      <c r="C24" s="16" t="n">
        <f aca="false">1/E22</f>
        <v>4</v>
      </c>
      <c r="D24" s="16" t="n">
        <f aca="false">1/E23</f>
        <v>2</v>
      </c>
      <c r="E24" s="16" t="n">
        <v>1</v>
      </c>
      <c r="F24" s="17" t="n">
        <v>2</v>
      </c>
      <c r="G24" s="11" t="n">
        <f aca="false">GEOMEAN(B24:F24)</f>
        <v>2</v>
      </c>
      <c r="H24" s="18" t="n">
        <f aca="false">G24/SUM(G$21:G$25)</f>
        <v>0.364903187033884</v>
      </c>
    </row>
    <row r="25" customFormat="false" ht="15" hidden="false" customHeight="false" outlineLevel="0" collapsed="false">
      <c r="A25" s="9" t="s">
        <v>45</v>
      </c>
      <c r="B25" s="16" t="n">
        <f aca="false">1/F21</f>
        <v>1</v>
      </c>
      <c r="C25" s="16" t="n">
        <f aca="false">1/F22</f>
        <v>2</v>
      </c>
      <c r="D25" s="16" t="n">
        <f aca="false">1/F23</f>
        <v>1</v>
      </c>
      <c r="E25" s="16" t="n">
        <f aca="false">1/F24</f>
        <v>0.5</v>
      </c>
      <c r="F25" s="16" t="n">
        <v>1</v>
      </c>
      <c r="G25" s="11" t="n">
        <f aca="false">GEOMEAN(B25:F25)</f>
        <v>1</v>
      </c>
      <c r="H25" s="18" t="n">
        <f aca="false">G25/SUM(G$21:G$25)</f>
        <v>0.182451593516942</v>
      </c>
    </row>
    <row r="26" customFormat="false" ht="15" hidden="false" customHeight="false" outlineLevel="0" collapsed="false">
      <c r="A26" s="9" t="s">
        <v>66</v>
      </c>
      <c r="B26" s="11" t="n">
        <f aca="false">SUM(B21:B25)</f>
        <v>7</v>
      </c>
      <c r="C26" s="11" t="n">
        <f aca="false">SUM(C21:C25)</f>
        <v>10</v>
      </c>
      <c r="D26" s="11" t="n">
        <f aca="false">SUM(D21:D25)</f>
        <v>5</v>
      </c>
      <c r="E26" s="11" t="n">
        <f aca="false">SUM(E21:E25)</f>
        <v>2.75</v>
      </c>
      <c r="F26" s="11" t="n">
        <f aca="false">SUM(F21:F25)</f>
        <v>5.5</v>
      </c>
    </row>
    <row r="27" customFormat="false" ht="15" hidden="false" customHeight="false" outlineLevel="0" collapsed="false">
      <c r="A27" s="9" t="s">
        <v>67</v>
      </c>
      <c r="B27" s="11" t="n">
        <f aca="false">H21</f>
        <v>0.138272451439925</v>
      </c>
      <c r="C27" s="11" t="n">
        <f aca="false">H22</f>
        <v>0.10479092266975</v>
      </c>
      <c r="D27" s="11" t="n">
        <f aca="false">H23</f>
        <v>0.209581845339499</v>
      </c>
      <c r="E27" s="11" t="n">
        <f aca="false">H24</f>
        <v>0.364903187033884</v>
      </c>
      <c r="F27" s="11" t="n">
        <f aca="false">H25</f>
        <v>0.182451593516942</v>
      </c>
    </row>
    <row r="28" customFormat="false" ht="15" hidden="false" customHeight="false" outlineLevel="0" collapsed="false">
      <c r="A28" s="9" t="s">
        <v>68</v>
      </c>
      <c r="B28" s="11" t="n">
        <f aca="false">SUMPRODUCT(B26:F26,B27:F27)</f>
        <v>5.07069314216083</v>
      </c>
    </row>
    <row r="29" customFormat="false" ht="15" hidden="false" customHeight="false" outlineLevel="0" collapsed="false">
      <c r="A29" s="9" t="s">
        <v>69</v>
      </c>
      <c r="B29" s="11" t="n">
        <f aca="false">(B28-5)/(5-1)</f>
        <v>0.0176732855402073</v>
      </c>
    </row>
    <row r="30" customFormat="false" ht="15" hidden="false" customHeight="false" outlineLevel="0" collapsed="false">
      <c r="A30" s="9" t="s">
        <v>70</v>
      </c>
      <c r="B30" s="19" t="n">
        <v>1.12</v>
      </c>
    </row>
    <row r="31" customFormat="false" ht="15" hidden="false" customHeight="false" outlineLevel="0" collapsed="false">
      <c r="A31" s="9" t="s">
        <v>71</v>
      </c>
      <c r="B31" s="20" t="n">
        <f aca="false">B29/B30</f>
        <v>0.015779719232328</v>
      </c>
    </row>
    <row r="34" customFormat="false" ht="15" hidden="false" customHeight="false" outlineLevel="0" collapsed="false">
      <c r="A34" s="4" t="s">
        <v>73</v>
      </c>
    </row>
    <row r="35" customFormat="false" ht="23.85" hidden="false" customHeight="false" outlineLevel="0" collapsed="false">
      <c r="A35" s="6"/>
      <c r="B35" s="6" t="s">
        <v>27</v>
      </c>
      <c r="C35" s="6" t="s">
        <v>29</v>
      </c>
      <c r="D35" s="6" t="s">
        <v>31</v>
      </c>
      <c r="E35" s="6" t="s">
        <v>33</v>
      </c>
      <c r="F35" s="6" t="s">
        <v>35</v>
      </c>
      <c r="G35" s="6" t="s">
        <v>58</v>
      </c>
      <c r="H35" s="6" t="s">
        <v>59</v>
      </c>
    </row>
    <row r="36" customFormat="false" ht="15" hidden="false" customHeight="false" outlineLevel="0" collapsed="false">
      <c r="A36" s="9" t="s">
        <v>41</v>
      </c>
      <c r="B36" s="16" t="n">
        <v>1</v>
      </c>
      <c r="C36" s="17" t="n">
        <v>1</v>
      </c>
      <c r="D36" s="17" t="n">
        <f aca="false">1/2</f>
        <v>0.5</v>
      </c>
      <c r="E36" s="17" t="n">
        <f aca="false">1/2</f>
        <v>0.5</v>
      </c>
      <c r="F36" s="17" t="n">
        <v>1</v>
      </c>
      <c r="G36" s="11" t="n">
        <f aca="false">GEOMEAN(B36:F36)</f>
        <v>0.757858283255199</v>
      </c>
      <c r="H36" s="18" t="n">
        <f aca="false">G36/SUM(G$36:G$40)</f>
        <v>0.142201105339963</v>
      </c>
    </row>
    <row r="37" customFormat="false" ht="15" hidden="false" customHeight="false" outlineLevel="0" collapsed="false">
      <c r="A37" s="9" t="s">
        <v>42</v>
      </c>
      <c r="B37" s="16" t="n">
        <f aca="false">1/C36</f>
        <v>1</v>
      </c>
      <c r="C37" s="16" t="n">
        <v>1</v>
      </c>
      <c r="D37" s="17" t="n">
        <f aca="false">1/2</f>
        <v>0.5</v>
      </c>
      <c r="E37" s="17" t="n">
        <f aca="false">1/3</f>
        <v>0.333333333333333</v>
      </c>
      <c r="F37" s="17" t="n">
        <f aca="false">1/2</f>
        <v>0.5</v>
      </c>
      <c r="G37" s="11" t="n">
        <f aca="false">GEOMEAN(B37:F37)</f>
        <v>0.608364341893206</v>
      </c>
      <c r="H37" s="18" t="n">
        <f aca="false">G37/SUM(G$36:G$40)</f>
        <v>0.114150737384633</v>
      </c>
    </row>
    <row r="38" customFormat="false" ht="15" hidden="false" customHeight="false" outlineLevel="0" collapsed="false">
      <c r="A38" s="9" t="s">
        <v>43</v>
      </c>
      <c r="B38" s="16" t="n">
        <f aca="false">1/D36</f>
        <v>2</v>
      </c>
      <c r="C38" s="16" t="n">
        <f aca="false">1/D37</f>
        <v>2</v>
      </c>
      <c r="D38" s="16" t="n">
        <v>1</v>
      </c>
      <c r="E38" s="17" t="n">
        <v>1</v>
      </c>
      <c r="F38" s="17" t="n">
        <v>1</v>
      </c>
      <c r="G38" s="11" t="n">
        <f aca="false">GEOMEAN(B38:F38)</f>
        <v>1.31950791077289</v>
      </c>
      <c r="H38" s="18" t="n">
        <f aca="false">G38/SUM(G$36:G$40)</f>
        <v>0.247586504710073</v>
      </c>
    </row>
    <row r="39" customFormat="false" ht="15" hidden="false" customHeight="false" outlineLevel="0" collapsed="false">
      <c r="A39" s="9" t="s">
        <v>44</v>
      </c>
      <c r="B39" s="16" t="n">
        <f aca="false">1/E36</f>
        <v>2</v>
      </c>
      <c r="C39" s="16" t="n">
        <f aca="false">1/E37</f>
        <v>3</v>
      </c>
      <c r="D39" s="16" t="n">
        <f aca="false">1/E38</f>
        <v>1</v>
      </c>
      <c r="E39" s="16" t="n">
        <v>1</v>
      </c>
      <c r="F39" s="17" t="n">
        <v>2</v>
      </c>
      <c r="G39" s="11" t="n">
        <f aca="false">GEOMEAN(B39:F39)</f>
        <v>1.64375182951723</v>
      </c>
      <c r="H39" s="18" t="n">
        <f aca="false">G39/SUM(G$36:G$40)</f>
        <v>0.308426169148601</v>
      </c>
    </row>
    <row r="40" customFormat="false" ht="15" hidden="false" customHeight="false" outlineLevel="0" collapsed="false">
      <c r="A40" s="9" t="s">
        <v>45</v>
      </c>
      <c r="B40" s="16" t="n">
        <f aca="false">1/F36</f>
        <v>1</v>
      </c>
      <c r="C40" s="16" t="n">
        <f aca="false">1/F37</f>
        <v>2</v>
      </c>
      <c r="D40" s="16" t="n">
        <f aca="false">1/F38</f>
        <v>1</v>
      </c>
      <c r="E40" s="16" t="n">
        <f aca="false">1/F39</f>
        <v>0.5</v>
      </c>
      <c r="F40" s="16" t="n">
        <v>1</v>
      </c>
      <c r="G40" s="11" t="n">
        <f aca="false">GEOMEAN(B40:F40)</f>
        <v>1</v>
      </c>
      <c r="H40" s="18" t="n">
        <f aca="false">G40/SUM(G$36:G$40)</f>
        <v>0.187635483416731</v>
      </c>
    </row>
    <row r="41" customFormat="false" ht="15" hidden="false" customHeight="false" outlineLevel="0" collapsed="false">
      <c r="A41" s="9" t="s">
        <v>66</v>
      </c>
      <c r="B41" s="11" t="n">
        <f aca="false">SUM(B36:B40)</f>
        <v>7</v>
      </c>
      <c r="C41" s="11" t="n">
        <f aca="false">SUM(C36:C40)</f>
        <v>9</v>
      </c>
      <c r="D41" s="11" t="n">
        <f aca="false">SUM(D36:D40)</f>
        <v>4</v>
      </c>
      <c r="E41" s="11" t="n">
        <f aca="false">SUM(E36:E40)</f>
        <v>3.33333333333333</v>
      </c>
      <c r="F41" s="11" t="n">
        <f aca="false">SUM(F36:F40)</f>
        <v>5.5</v>
      </c>
    </row>
    <row r="42" customFormat="false" ht="15" hidden="false" customHeight="false" outlineLevel="0" collapsed="false">
      <c r="A42" s="9" t="s">
        <v>67</v>
      </c>
      <c r="B42" s="11" t="n">
        <f aca="false">H36</f>
        <v>0.142201105339963</v>
      </c>
      <c r="C42" s="11" t="n">
        <f aca="false">H37</f>
        <v>0.114150737384633</v>
      </c>
      <c r="D42" s="11" t="n">
        <f aca="false">H38</f>
        <v>0.247586504710073</v>
      </c>
      <c r="E42" s="11" t="n">
        <f aca="false">H39</f>
        <v>0.308426169148601</v>
      </c>
      <c r="F42" s="11" t="n">
        <f aca="false">H40</f>
        <v>0.187635483416731</v>
      </c>
    </row>
    <row r="43" customFormat="false" ht="15" hidden="false" customHeight="false" outlineLevel="0" collapsed="false">
      <c r="A43" s="9" t="s">
        <v>68</v>
      </c>
      <c r="B43" s="11" t="n">
        <f aca="false">SUMPRODUCT(B41:F41,B42:F42)</f>
        <v>5.07319278196908</v>
      </c>
    </row>
    <row r="44" customFormat="false" ht="15" hidden="false" customHeight="false" outlineLevel="0" collapsed="false">
      <c r="A44" s="9" t="s">
        <v>69</v>
      </c>
      <c r="B44" s="11" t="n">
        <f aca="false">(B43-5)/(5-1)</f>
        <v>0.018298195492271</v>
      </c>
    </row>
    <row r="45" customFormat="false" ht="15" hidden="false" customHeight="false" outlineLevel="0" collapsed="false">
      <c r="A45" s="9" t="s">
        <v>70</v>
      </c>
      <c r="B45" s="19" t="n">
        <v>1.12</v>
      </c>
    </row>
    <row r="46" customFormat="false" ht="15" hidden="false" customHeight="false" outlineLevel="0" collapsed="false">
      <c r="A46" s="9" t="s">
        <v>71</v>
      </c>
      <c r="B46" s="20" t="n">
        <f aca="false">B44/B45</f>
        <v>0.0163376745466705</v>
      </c>
    </row>
    <row r="49" customFormat="false" ht="15" hidden="false" customHeight="false" outlineLevel="0" collapsed="false">
      <c r="A49" s="4" t="s">
        <v>74</v>
      </c>
    </row>
    <row r="50" customFormat="false" ht="23.85" hidden="false" customHeight="false" outlineLevel="0" collapsed="false">
      <c r="A50" s="6"/>
      <c r="B50" s="6" t="s">
        <v>27</v>
      </c>
      <c r="C50" s="6" t="s">
        <v>29</v>
      </c>
      <c r="D50" s="6" t="s">
        <v>31</v>
      </c>
      <c r="E50" s="6" t="s">
        <v>33</v>
      </c>
      <c r="F50" s="6" t="s">
        <v>35</v>
      </c>
      <c r="G50" s="6" t="s">
        <v>58</v>
      </c>
      <c r="H50" s="6" t="s">
        <v>59</v>
      </c>
    </row>
    <row r="51" customFormat="false" ht="15" hidden="false" customHeight="false" outlineLevel="0" collapsed="false">
      <c r="A51" s="9" t="s">
        <v>41</v>
      </c>
      <c r="B51" s="11" t="n">
        <f aca="false">GEOMEAN(B6,B21,B36)</f>
        <v>1</v>
      </c>
      <c r="C51" s="11" t="n">
        <f aca="false">GEOMEAN(C6,C21,C36)</f>
        <v>1</v>
      </c>
      <c r="D51" s="11" t="n">
        <f aca="false">GEOMEAN(D6,D21,D36)</f>
        <v>0.5</v>
      </c>
      <c r="E51" s="11" t="n">
        <f aca="false">GEOMEAN(E6,E21,E36)</f>
        <v>0.5</v>
      </c>
      <c r="F51" s="11" t="n">
        <f aca="false">GEOMEAN(F6,F21,F36)</f>
        <v>0.7937005259841</v>
      </c>
      <c r="G51" s="11" t="n">
        <f aca="false">GEOMEAN(B51:F51)</f>
        <v>0.723634618720189</v>
      </c>
      <c r="H51" s="18" t="n">
        <f aca="false">G51/SUM(G$51:G$55)</f>
        <v>0.135908217501178</v>
      </c>
    </row>
    <row r="52" customFormat="false" ht="15" hidden="false" customHeight="false" outlineLevel="0" collapsed="false">
      <c r="A52" s="9" t="s">
        <v>42</v>
      </c>
      <c r="B52" s="11" t="n">
        <f aca="false">GEOMEAN(B7,B22,B37)</f>
        <v>1</v>
      </c>
      <c r="C52" s="11" t="n">
        <f aca="false">GEOMEAN(C7,C22,C37)</f>
        <v>1</v>
      </c>
      <c r="D52" s="11" t="n">
        <f aca="false">GEOMEAN(D7,D22,D37)</f>
        <v>0.5</v>
      </c>
      <c r="E52" s="11" t="n">
        <f aca="false">GEOMEAN(E7,E22,E37)</f>
        <v>0.346680637175317</v>
      </c>
      <c r="F52" s="11" t="n">
        <f aca="false">GEOMEAN(F7,F22,F37)</f>
        <v>0.5</v>
      </c>
      <c r="G52" s="11" t="n">
        <f aca="false">GEOMEAN(B52:F52)</f>
        <v>0.613160145995696</v>
      </c>
      <c r="H52" s="18" t="n">
        <f aca="false">G52/SUM(G$51:G$55)</f>
        <v>0.115159640416899</v>
      </c>
    </row>
    <row r="53" customFormat="false" ht="15" hidden="false" customHeight="false" outlineLevel="0" collapsed="false">
      <c r="A53" s="9" t="s">
        <v>43</v>
      </c>
      <c r="B53" s="11" t="n">
        <f aca="false">GEOMEAN(B8,B23,B38)</f>
        <v>2</v>
      </c>
      <c r="C53" s="11" t="n">
        <f aca="false">GEOMEAN(C8,C23,C38)</f>
        <v>2</v>
      </c>
      <c r="D53" s="11" t="n">
        <f aca="false">GEOMEAN(D8,D23,D38)</f>
        <v>1</v>
      </c>
      <c r="E53" s="11" t="n">
        <f aca="false">GEOMEAN(E8,E23,E38)</f>
        <v>0.7937005259841</v>
      </c>
      <c r="F53" s="11" t="n">
        <f aca="false">GEOMEAN(F8,F23,F38)</f>
        <v>1</v>
      </c>
      <c r="G53" s="11" t="n">
        <f aca="false">GEOMEAN(B53:F53)</f>
        <v>1.25992104989487</v>
      </c>
      <c r="H53" s="18" t="n">
        <f aca="false">G53/SUM(G$51:G$55)</f>
        <v>0.236629950604445</v>
      </c>
    </row>
    <row r="54" customFormat="false" ht="15" hidden="false" customHeight="false" outlineLevel="0" collapsed="false">
      <c r="A54" s="9" t="s">
        <v>44</v>
      </c>
      <c r="B54" s="11" t="n">
        <f aca="false">GEOMEAN(B9,B24,B39)</f>
        <v>2</v>
      </c>
      <c r="C54" s="11" t="n">
        <f aca="false">GEOMEAN(C9,C24,C39)</f>
        <v>2.88449914061482</v>
      </c>
      <c r="D54" s="11" t="n">
        <f aca="false">GEOMEAN(D9,D24,D39)</f>
        <v>1.25992104989487</v>
      </c>
      <c r="E54" s="11" t="n">
        <f aca="false">GEOMEAN(E9,E24,E39)</f>
        <v>1</v>
      </c>
      <c r="F54" s="11" t="n">
        <f aca="false">GEOMEAN(F9,F24,F39)</f>
        <v>1.5874010519682</v>
      </c>
      <c r="G54" s="11" t="n">
        <f aca="false">GEOMEAN(B54:F54)</f>
        <v>1.63089529958951</v>
      </c>
      <c r="H54" s="18" t="n">
        <f aca="false">G54/SUM(G$51:G$55)</f>
        <v>0.306303854686045</v>
      </c>
    </row>
    <row r="55" customFormat="false" ht="15" hidden="false" customHeight="false" outlineLevel="0" collapsed="false">
      <c r="A55" s="9" t="s">
        <v>45</v>
      </c>
      <c r="B55" s="11" t="n">
        <f aca="false">GEOMEAN(B10,B25,B40)</f>
        <v>1.25992104989487</v>
      </c>
      <c r="C55" s="11" t="n">
        <f aca="false">GEOMEAN(C10,C25,C40)</f>
        <v>2</v>
      </c>
      <c r="D55" s="11" t="n">
        <f aca="false">GEOMEAN(D10,D25,D40)</f>
        <v>1</v>
      </c>
      <c r="E55" s="11" t="n">
        <f aca="false">GEOMEAN(E10,E25,E40)</f>
        <v>0.629960524947437</v>
      </c>
      <c r="F55" s="11" t="n">
        <f aca="false">GEOMEAN(F10,F25,F40)</f>
        <v>1</v>
      </c>
      <c r="G55" s="11" t="n">
        <f aca="false">GEOMEAN(B55:F55)</f>
        <v>1.09682497969463</v>
      </c>
      <c r="H55" s="18" t="n">
        <f aca="false">G55/SUM(G$51:G$55)</f>
        <v>0.205998336791434</v>
      </c>
    </row>
    <row r="56" customFormat="false" ht="15" hidden="false" customHeight="false" outlineLevel="0" collapsed="false">
      <c r="A56" s="9" t="s">
        <v>66</v>
      </c>
      <c r="B56" s="11" t="n">
        <f aca="false">SUM(B51:B55)</f>
        <v>7.25992104989487</v>
      </c>
      <c r="C56" s="11" t="n">
        <f aca="false">SUM(C51:C55)</f>
        <v>8.88449914061482</v>
      </c>
      <c r="D56" s="11" t="n">
        <f aca="false">SUM(D51:D55)</f>
        <v>4.25992104989487</v>
      </c>
      <c r="E56" s="11" t="n">
        <f aca="false">SUM(E51:E55)</f>
        <v>3.27034168810685</v>
      </c>
      <c r="F56" s="11" t="n">
        <f aca="false">SUM(F51:F55)</f>
        <v>4.8811015779523</v>
      </c>
    </row>
    <row r="57" customFormat="false" ht="15" hidden="false" customHeight="false" outlineLevel="0" collapsed="false">
      <c r="A57" s="9" t="s">
        <v>67</v>
      </c>
      <c r="B57" s="11" t="n">
        <f aca="false">H51</f>
        <v>0.135908217501178</v>
      </c>
      <c r="C57" s="11" t="n">
        <f aca="false">H52</f>
        <v>0.115159640416899</v>
      </c>
      <c r="D57" s="11" t="n">
        <f aca="false">H53</f>
        <v>0.236629950604445</v>
      </c>
      <c r="E57" s="11" t="n">
        <f aca="false">H54</f>
        <v>0.306303854686045</v>
      </c>
      <c r="F57" s="11" t="n">
        <f aca="false">H55</f>
        <v>0.205998336791434</v>
      </c>
    </row>
    <row r="58" customFormat="false" ht="15" hidden="false" customHeight="false" outlineLevel="0" collapsed="false">
      <c r="A58" s="9" t="s">
        <v>68</v>
      </c>
      <c r="B58" s="11" t="n">
        <f aca="false">SUMPRODUCT(B56:F56,B57:F57)</f>
        <v>5.02506063499921</v>
      </c>
    </row>
    <row r="59" customFormat="false" ht="15" hidden="false" customHeight="false" outlineLevel="0" collapsed="false">
      <c r="A59" s="9" t="s">
        <v>69</v>
      </c>
      <c r="B59" s="11" t="n">
        <f aca="false">(B58-5)/(5-1)</f>
        <v>0.00626515874980349</v>
      </c>
    </row>
    <row r="60" customFormat="false" ht="15" hidden="false" customHeight="false" outlineLevel="0" collapsed="false">
      <c r="A60" s="9" t="s">
        <v>70</v>
      </c>
      <c r="B60" s="19" t="n">
        <v>1.12</v>
      </c>
    </row>
    <row r="61" customFormat="false" ht="15" hidden="false" customHeight="false" outlineLevel="0" collapsed="false">
      <c r="A61" s="9" t="s">
        <v>71</v>
      </c>
      <c r="B61" s="20" t="n">
        <f aca="false">B59/B60</f>
        <v>0.00559389174089597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2026-10-13T10:49:14Z</dcterms:created>
  <dc:creator>openpyxl</dc:creator>
  <dc:description/>
  <dc:language>en-US</dc:language>
  <cp:lastModifiedBy/>
  <dcterms:modified xsi:type="dcterms:W3CDTF">2026-10-13T15:57:54Z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